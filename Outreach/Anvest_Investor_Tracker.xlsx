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 THIS NEXT" sheetId="1" state="visible" r:id="rId1"/>
    <sheet xmlns:r="http://schemas.openxmlformats.org/officeDocument/2006/relationships" name="Metrics Gate" sheetId="2" state="visible" r:id="rId2"/>
    <sheet xmlns:r="http://schemas.openxmlformats.org/officeDocument/2006/relationships" name="Investor Targets" sheetId="3" state="visible" r:id="rId3"/>
    <sheet xmlns:r="http://schemas.openxmlformats.org/officeDocument/2006/relationships" name="Round Model" sheetId="4" state="visible" r:id="rId4"/>
    <sheet xmlns:r="http://schemas.openxmlformats.org/officeDocument/2006/relationships" name="Timeline"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7">
    <numFmt numFmtId="164" formatCode="dd-mmm-yyyy"/>
    <numFmt numFmtId="165" formatCode="0.0%"/>
    <numFmt numFmtId="166" formatCode="0.0"/>
    <numFmt numFmtId="167" formatCode="#,##0;(#,##0);-"/>
    <numFmt numFmtId="168" formatCode="$#,##0"/>
    <numFmt numFmtId="169" formatCode="0.00&quot; Cr&quot;"/>
    <numFmt numFmtId="170" formatCode="$#,##0;($#,##0);-"/>
  </numFmts>
  <fonts count="18">
    <font>
      <name val="Calibri"/>
      <family val="2"/>
      <color theme="1"/>
      <sz val="11"/>
      <scheme val="minor"/>
    </font>
    <font>
      <name val="Arial"/>
      <b val="1"/>
      <color rgb="001F3864"/>
      <sz val="14"/>
    </font>
    <font>
      <name val="Arial"/>
      <i val="1"/>
      <color rgb="00595959"/>
      <sz val="10"/>
    </font>
    <font>
      <name val="Arial"/>
      <i val="1"/>
      <color rgb="00C00000"/>
      <sz val="9"/>
    </font>
    <font>
      <name val="Arial"/>
      <b val="1"/>
      <color rgb="00FFFFFF"/>
      <sz val="10"/>
    </font>
    <font>
      <name val="Arial"/>
      <sz val="10"/>
    </font>
    <font>
      <name val="Arial"/>
      <b val="1"/>
      <sz val="10"/>
    </font>
    <font>
      <name val="Arial"/>
      <b val="1"/>
      <color rgb="00FFFFFF"/>
      <sz val="11"/>
    </font>
    <font>
      <name val="Arial"/>
      <color rgb="000000FF"/>
      <sz val="10"/>
    </font>
    <font>
      <name val="Arial"/>
      <i val="1"/>
      <color rgb="00595959"/>
      <sz val="9"/>
    </font>
    <font>
      <name val="Arial"/>
      <color rgb="00595959"/>
      <sz val="9"/>
    </font>
    <font>
      <name val="Arial"/>
      <b val="1"/>
      <color rgb="001F3864"/>
      <sz val="10"/>
    </font>
    <font>
      <name val="Arial"/>
      <b val="1"/>
      <color rgb="00C00000"/>
      <sz val="10"/>
    </font>
    <font>
      <name val="Arial"/>
      <color rgb="000563C1"/>
      <sz val="9"/>
      <u val="single"/>
    </font>
    <font>
      <name val="Arial"/>
      <b val="1"/>
      <color rgb="00C00000"/>
      <sz val="11"/>
    </font>
    <font>
      <name val="Arial"/>
      <i val="1"/>
      <color rgb="00C00000"/>
      <sz val="10"/>
    </font>
    <font>
      <name val="Arial"/>
      <sz val="9"/>
    </font>
    <font>
      <name val="Arial"/>
      <b val="1"/>
      <sz val="11"/>
    </font>
  </fonts>
  <fills count="10">
    <fill>
      <patternFill/>
    </fill>
    <fill>
      <patternFill patternType="gray125"/>
    </fill>
    <fill>
      <patternFill patternType="solid">
        <fgColor rgb="001F3864"/>
      </patternFill>
    </fill>
    <fill>
      <patternFill patternType="solid">
        <fgColor rgb="00C6E0B4"/>
      </patternFill>
    </fill>
    <fill>
      <patternFill patternType="solid">
        <fgColor rgb="00FFFF00"/>
      </patternFill>
    </fill>
    <fill>
      <patternFill patternType="solid">
        <fgColor rgb="00FFE699"/>
      </patternFill>
    </fill>
    <fill>
      <patternFill patternType="solid">
        <fgColor rgb="00D9E1F2"/>
      </patternFill>
    </fill>
    <fill>
      <patternFill patternType="solid">
        <fgColor rgb="00F8CBAD"/>
      </patternFill>
    </fill>
    <fill>
      <patternFill patternType="solid">
        <fgColor rgb="00D9D9D9"/>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wrapText="1"/>
    </xf>
    <xf numFmtId="0" fontId="5" fillId="4" borderId="1" applyAlignment="1" pivotButton="0" quotePrefix="0" xfId="0">
      <alignment vertical="top" wrapText="1"/>
    </xf>
    <xf numFmtId="164"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xf numFmtId="0" fontId="6" fillId="0" borderId="0" pivotButton="0" quotePrefix="0" xfId="0"/>
    <xf numFmtId="0" fontId="6" fillId="0" borderId="0" applyAlignment="1" pivotButton="0" quotePrefix="0" xfId="0">
      <alignment vertical="top" wrapText="1"/>
    </xf>
    <xf numFmtId="0" fontId="5" fillId="0" borderId="0" applyAlignment="1" pivotButton="0" quotePrefix="0" xfId="0">
      <alignment vertical="top" wrapText="1"/>
    </xf>
    <xf numFmtId="0" fontId="7" fillId="2" borderId="0" pivotButton="0" quotePrefix="0" xfId="0"/>
    <xf numFmtId="0" fontId="0" fillId="2" borderId="0" pivotButton="0" quotePrefix="0" xfId="0"/>
    <xf numFmtId="3" fontId="8" fillId="4" borderId="0" pivotButton="0" quotePrefix="0" xfId="0"/>
    <xf numFmtId="0" fontId="9" fillId="0" borderId="0" applyAlignment="1" pivotButton="0" quotePrefix="0" xfId="0">
      <alignment vertical="top" wrapText="1"/>
    </xf>
    <xf numFmtId="3" fontId="5" fillId="0" borderId="0" pivotButton="0" quotePrefix="0" xfId="0"/>
    <xf numFmtId="165" fontId="5" fillId="0" borderId="0" pivotButton="0" quotePrefix="0" xfId="0"/>
    <xf numFmtId="0" fontId="8" fillId="0" borderId="0" pivotButton="0" quotePrefix="0" xfId="0"/>
    <xf numFmtId="1" fontId="8" fillId="0" borderId="0" pivotButton="0" quotePrefix="0" xfId="0"/>
    <xf numFmtId="166" fontId="8" fillId="4" borderId="0" pivotButton="0" quotePrefix="0" xfId="0"/>
    <xf numFmtId="0" fontId="6" fillId="0" borderId="1" pivotButton="0" quotePrefix="0" xfId="0"/>
    <xf numFmtId="0" fontId="5" fillId="0" borderId="1" applyAlignment="1" pivotButton="0" quotePrefix="0" xfId="0">
      <alignment vertical="top" wrapText="1"/>
    </xf>
    <xf numFmtId="3" fontId="8" fillId="0" borderId="1" pivotButton="0" quotePrefix="0" xfId="0"/>
    <xf numFmtId="165" fontId="5" fillId="0" borderId="1" pivotButton="0" quotePrefix="0" xfId="0"/>
    <xf numFmtId="0" fontId="10" fillId="0" borderId="0" applyAlignment="1" pivotButton="0" quotePrefix="0" xfId="0">
      <alignment vertical="top" wrapText="1"/>
    </xf>
    <xf numFmtId="3" fontId="6" fillId="0" borderId="0" pivotButton="0" quotePrefix="0" xfId="0"/>
    <xf numFmtId="165" fontId="6" fillId="0" borderId="0" pivotButton="0" quotePrefix="0" xfId="0"/>
    <xf numFmtId="0" fontId="5" fillId="0" borderId="0" pivotButton="0" quotePrefix="0" xfId="0"/>
    <xf numFmtId="167" fontId="5" fillId="0" borderId="0" pivotButton="0" quotePrefix="0" xfId="0"/>
    <xf numFmtId="165" fontId="8" fillId="4" borderId="0" pivotButton="0" quotePrefix="0" xfId="0"/>
    <xf numFmtId="0" fontId="11" fillId="0" borderId="0" pivotButton="0" quotePrefix="0" xfId="0"/>
    <xf numFmtId="0" fontId="5" fillId="0" borderId="1" pivotButton="0" quotePrefix="0" xfId="0"/>
    <xf numFmtId="0" fontId="8" fillId="4" borderId="1" pivotButton="0" quotePrefix="0" xfId="0"/>
    <xf numFmtId="0" fontId="5" fillId="0" borderId="1" applyAlignment="1" pivotButton="0" quotePrefix="0" xfId="0">
      <alignment horizontal="center" vertical="center"/>
    </xf>
    <xf numFmtId="0" fontId="10" fillId="0" borderId="1" applyAlignment="1" pivotButton="0" quotePrefix="0" xfId="0">
      <alignment vertical="top" wrapText="1"/>
    </xf>
    <xf numFmtId="0" fontId="12" fillId="0" borderId="0" pivotButton="0" quotePrefix="0" xfId="0"/>
    <xf numFmtId="164" fontId="0" fillId="4" borderId="1" pivotButton="0" quotePrefix="0" xfId="0"/>
    <xf numFmtId="0" fontId="0" fillId="4" borderId="1" pivotButton="0" quotePrefix="0" xfId="0"/>
    <xf numFmtId="0" fontId="4" fillId="2" borderId="1" pivotButton="0" quotePrefix="0" xfId="0"/>
    <xf numFmtId="0" fontId="13" fillId="0" borderId="1" applyAlignment="1" pivotButton="0" quotePrefix="0" xfId="0">
      <alignment vertical="top" wrapText="1"/>
    </xf>
    <xf numFmtId="0" fontId="6" fillId="7" borderId="1" applyAlignment="1" pivotButton="0" quotePrefix="0" xfId="0">
      <alignment horizontal="center" vertical="center"/>
    </xf>
    <xf numFmtId="0" fontId="6" fillId="7" borderId="1" applyAlignment="1" pivotButton="0" quotePrefix="0" xfId="0">
      <alignment vertical="top" wrapText="1"/>
    </xf>
    <xf numFmtId="0" fontId="10" fillId="7" borderId="1" applyAlignment="1" pivotButton="0" quotePrefix="0" xfId="0">
      <alignment vertical="top" wrapText="1"/>
    </xf>
    <xf numFmtId="0" fontId="5" fillId="7" borderId="1" applyAlignment="1" pivotButton="0" quotePrefix="0" xfId="0">
      <alignment horizontal="center" vertical="center"/>
    </xf>
    <xf numFmtId="0" fontId="10" fillId="7" borderId="1" applyAlignment="1" pivotButton="0" quotePrefix="0" xfId="0">
      <alignment horizontal="center" vertical="center"/>
    </xf>
    <xf numFmtId="0" fontId="6" fillId="5" borderId="1" applyAlignment="1" pivotButton="0" quotePrefix="0" xfId="0">
      <alignment horizontal="center" vertical="center"/>
    </xf>
    <xf numFmtId="0" fontId="6" fillId="5" borderId="1" applyAlignment="1" pivotButton="0" quotePrefix="0" xfId="0">
      <alignment vertical="top" wrapText="1"/>
    </xf>
    <xf numFmtId="0" fontId="10" fillId="5" borderId="1" applyAlignment="1" pivotButton="0" quotePrefix="0" xfId="0">
      <alignment vertical="top" wrapText="1"/>
    </xf>
    <xf numFmtId="0" fontId="5" fillId="5" borderId="1" applyAlignment="1" pivotButton="0" quotePrefix="0" xfId="0">
      <alignment horizontal="center" vertical="center"/>
    </xf>
    <xf numFmtId="0" fontId="10" fillId="5" borderId="1" applyAlignment="1" pivotButton="0" quotePrefix="0" xfId="0">
      <alignment horizontal="center" vertical="center"/>
    </xf>
    <xf numFmtId="0" fontId="6" fillId="3" borderId="1" applyAlignment="1" pivotButton="0" quotePrefix="0" xfId="0">
      <alignment horizontal="center" vertical="center"/>
    </xf>
    <xf numFmtId="0" fontId="6" fillId="3" borderId="1" applyAlignment="1" pivotButton="0" quotePrefix="0" xfId="0">
      <alignment vertical="top" wrapText="1"/>
    </xf>
    <xf numFmtId="0" fontId="10" fillId="3" borderId="1" applyAlignment="1" pivotButton="0" quotePrefix="0" xfId="0">
      <alignment vertical="top" wrapText="1"/>
    </xf>
    <xf numFmtId="0" fontId="5" fillId="3" borderId="1" applyAlignment="1" pivotButton="0" quotePrefix="0" xfId="0">
      <alignment horizontal="center" vertical="center"/>
    </xf>
    <xf numFmtId="0" fontId="10" fillId="3" borderId="1" applyAlignment="1" pivotButton="0" quotePrefix="0" xfId="0">
      <alignment horizontal="center" vertical="center"/>
    </xf>
    <xf numFmtId="0" fontId="6" fillId="6" borderId="1" applyAlignment="1" pivotButton="0" quotePrefix="0" xfId="0">
      <alignment horizontal="center" vertical="center"/>
    </xf>
    <xf numFmtId="0" fontId="6" fillId="6" borderId="1" applyAlignment="1" pivotButton="0" quotePrefix="0" xfId="0">
      <alignment vertical="top" wrapText="1"/>
    </xf>
    <xf numFmtId="0" fontId="10" fillId="6" borderId="1" applyAlignment="1" pivotButton="0" quotePrefix="0" xfId="0">
      <alignment vertical="top" wrapText="1"/>
    </xf>
    <xf numFmtId="0" fontId="5" fillId="6" borderId="1" applyAlignment="1" pivotButton="0" quotePrefix="0" xfId="0">
      <alignment horizontal="center" vertical="center"/>
    </xf>
    <xf numFmtId="0" fontId="10" fillId="6" borderId="1" applyAlignment="1" pivotButton="0" quotePrefix="0" xfId="0">
      <alignment horizontal="center" vertical="center"/>
    </xf>
    <xf numFmtId="0" fontId="6" fillId="0" borderId="0" applyAlignment="1" pivotButton="0" quotePrefix="0" xfId="0">
      <alignment horizontal="center" vertical="center"/>
    </xf>
    <xf numFmtId="0" fontId="0" fillId="0" borderId="0" applyAlignment="1" pivotButton="0" quotePrefix="0" xfId="0">
      <alignment horizontal="center" vertical="center"/>
    </xf>
    <xf numFmtId="0" fontId="6" fillId="7" borderId="0" applyAlignment="1" pivotButton="0" quotePrefix="0" xfId="0">
      <alignment horizontal="center" vertical="center"/>
    </xf>
    <xf numFmtId="0" fontId="6" fillId="5" borderId="0" applyAlignment="1" pivotButton="0" quotePrefix="0" xfId="0">
      <alignment horizontal="center" vertical="center"/>
    </xf>
    <xf numFmtId="0" fontId="6" fillId="3" borderId="0" applyAlignment="1" pivotButton="0" quotePrefix="0" xfId="0">
      <alignment horizontal="center" vertical="center"/>
    </xf>
    <xf numFmtId="0" fontId="6" fillId="6" borderId="0" applyAlignment="1" pivotButton="0" quotePrefix="0" xfId="0">
      <alignment horizontal="center" vertical="center"/>
    </xf>
    <xf numFmtId="0" fontId="14" fillId="0" borderId="0" pivotButton="0" quotePrefix="0" xfId="0"/>
    <xf numFmtId="0" fontId="15" fillId="0" borderId="0" applyAlignment="1" pivotButton="0" quotePrefix="0" xfId="0">
      <alignment vertical="top" wrapText="1"/>
    </xf>
    <xf numFmtId="0" fontId="0" fillId="0" borderId="1" applyAlignment="1" pivotButton="0" quotePrefix="0" xfId="0">
      <alignment horizontal="center" vertical="center"/>
    </xf>
    <xf numFmtId="0" fontId="6" fillId="2" borderId="0" applyAlignment="1" pivotButton="0" quotePrefix="0" xfId="0">
      <alignment vertical="top" wrapText="1"/>
    </xf>
    <xf numFmtId="165" fontId="6" fillId="2" borderId="0" pivotButton="0" quotePrefix="0" xfId="0"/>
    <xf numFmtId="0" fontId="9" fillId="2" borderId="0" applyAlignment="1" pivotButton="0" quotePrefix="0" xfId="0">
      <alignment vertical="top" wrapText="1"/>
    </xf>
    <xf numFmtId="168" fontId="8" fillId="4" borderId="0" pivotButton="0" quotePrefix="0" xfId="0"/>
    <xf numFmtId="169" fontId="5" fillId="0" borderId="0" pivotButton="0" quotePrefix="0" xfId="0"/>
    <xf numFmtId="168" fontId="8" fillId="0" borderId="1" pivotButton="0" quotePrefix="0" xfId="0"/>
    <xf numFmtId="168" fontId="6" fillId="0" borderId="0" pivotButton="0" quotePrefix="0" xfId="0"/>
    <xf numFmtId="170" fontId="0" fillId="0" borderId="0" pivotButton="0" quotePrefix="0" xfId="0"/>
    <xf numFmtId="0" fontId="6" fillId="0" borderId="1" applyAlignment="1" pivotButton="0" quotePrefix="0" xfId="0">
      <alignment vertical="top" wrapText="1"/>
    </xf>
    <xf numFmtId="165" fontId="8" fillId="0" borderId="1" pivotButton="0" quotePrefix="0" xfId="0"/>
    <xf numFmtId="165" fontId="6" fillId="0" borderId="1" pivotButton="0" quotePrefix="0" xfId="0"/>
    <xf numFmtId="1" fontId="8" fillId="0" borderId="1" pivotButton="0" quotePrefix="0" xfId="0"/>
    <xf numFmtId="2" fontId="5" fillId="0" borderId="1" pivotButton="0" quotePrefix="0" xfId="0"/>
    <xf numFmtId="0" fontId="0" fillId="6" borderId="1" applyAlignment="1" pivotButton="0" quotePrefix="0" xfId="0">
      <alignment horizontal="center" vertical="center"/>
    </xf>
    <xf numFmtId="0" fontId="14" fillId="7" borderId="0" applyAlignment="1" pivotButton="0" quotePrefix="0" xfId="0">
      <alignment horizontal="center" vertical="center"/>
    </xf>
    <xf numFmtId="0" fontId="16" fillId="3" borderId="1" applyAlignment="1" pivotButton="0" quotePrefix="0" xfId="0">
      <alignment vertical="top" wrapText="1"/>
    </xf>
    <xf numFmtId="0" fontId="16" fillId="4" borderId="1" applyAlignment="1" pivotButton="0" quotePrefix="0" xfId="0">
      <alignment vertical="top" wrapText="1"/>
    </xf>
    <xf numFmtId="0" fontId="16" fillId="5" borderId="1" applyAlignment="1" pivotButton="0" quotePrefix="0" xfId="0">
      <alignment vertical="top" wrapText="1"/>
    </xf>
    <xf numFmtId="0" fontId="16" fillId="6" borderId="1" applyAlignment="1" pivotButton="0" quotePrefix="0" xfId="0">
      <alignment vertical="top" wrapText="1"/>
    </xf>
    <xf numFmtId="0" fontId="5" fillId="8" borderId="1" applyAlignment="1" pivotButton="0" quotePrefix="0" xfId="0">
      <alignment vertical="top" wrapText="1"/>
    </xf>
    <xf numFmtId="0" fontId="16" fillId="8" borderId="1" applyAlignment="1" pivotButton="0" quotePrefix="0" xfId="0">
      <alignment vertical="top" wrapText="1"/>
    </xf>
    <xf numFmtId="0" fontId="16" fillId="7" borderId="1" applyAlignment="1" pivotButton="0" quotePrefix="0" xfId="0">
      <alignment vertical="top" wrapText="1"/>
    </xf>
    <xf numFmtId="0" fontId="5" fillId="9" borderId="1" applyAlignment="1" pivotButton="0" quotePrefix="0" xfId="0">
      <alignment vertical="top" wrapText="1"/>
    </xf>
    <xf numFmtId="0" fontId="16" fillId="9" borderId="1" applyAlignment="1" pivotButton="0" quotePrefix="0" xfId="0">
      <alignment vertical="top" wrapText="1"/>
    </xf>
    <xf numFmtId="0" fontId="17" fillId="6" borderId="1" applyAlignment="1" pivotButton="0" quotePrefix="0" xfId="0">
      <alignment vertical="top" wrapText="1"/>
    </xf>
    <xf numFmtId="0" fontId="0" fillId="0" borderId="4" pivotButton="0" quotePrefix="0" xfId="0"/>
    <xf numFmtId="0" fontId="0" fillId="0" borderId="5" pivotButton="0" quotePrefix="0" xfId="0"/>
    <xf numFmtId="0" fontId="16" fillId="0" borderId="0" applyAlignment="1" pivotButton="0" quotePrefix="0" xfId="0">
      <alignment vertical="top" wrapText="1"/>
    </xf>
    <xf numFmtId="0" fontId="6" fillId="9" borderId="1" applyAlignment="1" pivotButton="0" quotePrefix="0" xfId="0">
      <alignment vertical="top" wrapText="1"/>
    </xf>
    <xf numFmtId="0" fontId="6" fillId="8" borderId="1" applyAlignment="1" pivotButton="0" quotePrefix="0" xfId="0">
      <alignment vertical="top" wrapText="1"/>
    </xf>
    <xf numFmtId="0" fontId="17"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pane ySplit="5" topLeftCell="A6" activePane="bottomLeft" state="frozen"/>
      <selection pane="bottomLeft" activeCell="A1" sqref="A1"/>
    </sheetView>
  </sheetViews>
  <sheetFormatPr baseColWidth="8" defaultRowHeight="15"/>
  <cols>
    <col width="5" customWidth="1" min="1" max="1"/>
    <col width="11" customWidth="1" min="2" max="2"/>
    <col width="56" customWidth="1" min="3" max="3"/>
    <col width="46" customWidth="1" min="4" max="4"/>
    <col width="9" customWidth="1" min="5" max="5"/>
    <col width="14" customWidth="1" min="6" max="6"/>
    <col width="12" customWidth="1" min="7" max="7"/>
    <col width="26" customWidth="1" min="8" max="8"/>
    <col width="13" customWidth="1" min="9" max="9"/>
  </cols>
  <sheetData>
    <row r="1">
      <c r="A1" s="1" t="inlineStr">
        <is>
          <t>Anvest - Master Action List (REVISED 2026-09-03, post-YC-rejection)</t>
        </is>
      </c>
    </row>
    <row r="2">
      <c r="A2" s="2" t="inlineStr">
        <is>
          <t>Strictly ordered. Start at row 6 and work down. 34 tasks. The bands are explained at the bottom.</t>
        </is>
      </c>
    </row>
    <row r="3">
      <c r="A3" s="3" t="inlineStr">
        <is>
          <t>Edit only the yellow columns (Status, Done date, Notes). Full reasoning for every item is in FUNDING_PLAN.md - section references in the last column.</t>
        </is>
      </c>
    </row>
    <row r="5" ht="26" customHeight="1">
      <c r="A5" s="4" t="inlineStr">
        <is>
          <t>#</t>
        </is>
      </c>
      <c r="B5" s="4" t="inlineStr">
        <is>
          <t>Band</t>
        </is>
      </c>
      <c r="C5" s="4" t="inlineStr">
        <is>
          <t>Do this</t>
        </is>
      </c>
      <c r="D5" s="4" t="inlineStr">
        <is>
          <t>Why / what it unblocks</t>
        </is>
      </c>
      <c r="E5" s="4" t="inlineStr">
        <is>
          <t>Effort</t>
        </is>
      </c>
      <c r="F5" s="4" t="inlineStr">
        <is>
          <t>Status</t>
        </is>
      </c>
      <c r="G5" s="4" t="inlineStr">
        <is>
          <t>Done date</t>
        </is>
      </c>
      <c r="H5" s="4" t="inlineStr">
        <is>
          <t>Notes</t>
        </is>
      </c>
      <c r="I5" s="4" t="inlineStr">
        <is>
          <t>Ref</t>
        </is>
      </c>
    </row>
    <row r="6" ht="58" customHeight="1">
      <c r="A6" s="100" t="n">
        <v>1</v>
      </c>
      <c r="B6" s="100" t="inlineStr">
        <is>
          <t>BLOCK</t>
        </is>
      </c>
      <c r="C6" s="100" t="inlineStr">
        <is>
          <t>Read your employment contract's IP-assignment / moonlighting clause</t>
        </is>
      </c>
      <c r="D6" s="95" t="inlineStr">
        <is>
          <t>Anvest was built while employed. Most Indian tech contracts assign IP created 'during employment' or 'using company resources' to the employer. You must know which kind you signed before telling any investor you own 100%. Lawyer review if the clause is broad. This is the fastest way the raise dies at the last step.</t>
        </is>
      </c>
      <c r="E6" s="94" t="inlineStr">
        <is>
          <t>2h + lawyer</t>
        </is>
      </c>
      <c r="F6" s="6" t="inlineStr">
        <is>
          <t>Not started</t>
        </is>
      </c>
      <c r="G6" s="7" t="n"/>
      <c r="H6" s="6" t="n"/>
      <c r="I6" s="95" t="inlineStr">
        <is>
          <t>sec 12</t>
        </is>
      </c>
    </row>
    <row r="7" ht="58" customHeight="1">
      <c r="A7" s="100" t="n">
        <v>2</v>
      </c>
      <c r="B7" s="100" t="inlineStr">
        <is>
          <t>BLOCK</t>
        </is>
      </c>
      <c r="C7" s="100" t="inlineStr">
        <is>
          <t>Fix the cap table - transfer shares from the placeholder family shareholders to yourself</t>
        </is>
      </c>
      <c r="D7" s="95" t="inlineStr">
        <is>
          <t>Founder currently holds ~0%; two family members hold 99%/1% as incorporation placeholders. Every investor hits this fact. CA/CS executes Form SH-4 + board resolution + updated register of members.</t>
        </is>
      </c>
      <c r="E7" s="94" t="inlineStr">
        <is>
          <t>3-5d + CA/CS</t>
        </is>
      </c>
      <c r="F7" s="6" t="inlineStr">
        <is>
          <t>Not started</t>
        </is>
      </c>
      <c r="G7" s="7" t="n"/>
      <c r="H7" s="6" t="n"/>
      <c r="I7" s="95" t="inlineStr">
        <is>
          <t>sec 12</t>
        </is>
      </c>
    </row>
    <row r="8" ht="58" customHeight="1">
      <c r="A8" s="100" t="n">
        <v>3</v>
      </c>
      <c r="B8" s="100" t="inlineStr">
        <is>
          <t>BLOCK</t>
        </is>
      </c>
      <c r="C8" s="100" t="inlineStr">
        <is>
          <t>Decide your full-time date and be able to say it in one sentence</t>
        </is>
      </c>
      <c r="D8" s="95" t="inlineStr">
        <is>
          <t>Every institutional investor asks in meeting one. 100X.VC, Eximius and any accelerator treat full-time as a hard filter, not a preference. 'I leave when the round closes, targeting &lt;date&gt;' is a fine answer. Vagueness is not.</t>
        </is>
      </c>
      <c r="E8" s="94" t="inlineStr">
        <is>
          <t>-</t>
        </is>
      </c>
      <c r="F8" s="6" t="inlineStr">
        <is>
          <t>Not started</t>
        </is>
      </c>
      <c r="G8" s="7" t="n"/>
      <c r="H8" s="6" t="n"/>
      <c r="I8" s="95" t="inlineStr">
        <is>
          <t>sec 8.0</t>
        </is>
      </c>
    </row>
    <row r="9" ht="58" customHeight="1">
      <c r="A9" s="44" t="n">
        <v>4</v>
      </c>
      <c r="B9" s="44" t="inlineStr">
        <is>
          <t>DEADLINE</t>
        </is>
      </c>
      <c r="C9" s="44" t="inlineStr">
        <is>
          <t>Migrate off gemini-2.5-flash / -flash-lite BEFORE 16 OCTOBER</t>
        </is>
      </c>
      <c r="D9" s="93" t="inlineStr">
        <is>
          <t>Vertex retires the 2.5 family ~16 Oct 2026. Production breaks without this. It is also a unit-economics change, not just availability: cheapest successor is 2.5x input / 3.75x output cost - so the pricing page cannot be finalised until it lands.</t>
        </is>
      </c>
      <c r="E9" s="10" t="inlineStr">
        <is>
          <t>1-2w</t>
        </is>
      </c>
      <c r="F9" s="6" t="inlineStr">
        <is>
          <t>Not started</t>
        </is>
      </c>
      <c r="G9" s="7" t="n"/>
      <c r="H9" s="6" t="n"/>
      <c r="I9" s="93" t="inlineStr">
        <is>
          <t>SUBSCRIPTION_MODEL 3.2</t>
        </is>
      </c>
    </row>
    <row r="10" ht="58" customHeight="1">
      <c r="A10" s="54" t="n">
        <v>5</v>
      </c>
      <c r="B10" s="54" t="inlineStr">
        <is>
          <t>REVENUE</t>
        </is>
      </c>
      <c r="C10" s="54" t="inlineStr">
        <is>
          <t>Build minimal billing: one plan, one price, Razorpay, plan column on users</t>
        </is>
      </c>
      <c r="D10" s="87" t="inlineStr">
        <is>
          <t>There is currently ZERO billing code and no plan/tier column. Nothing converts without this. Scope it small - manual invoicing is acceptable for the first ten seats. The metering layer (usage_limits.py) already exists and is the insertion point.</t>
        </is>
      </c>
      <c r="E10" s="5" t="inlineStr">
        <is>
          <t>1w</t>
        </is>
      </c>
      <c r="F10" s="6" t="inlineStr">
        <is>
          <t>Not started</t>
        </is>
      </c>
      <c r="G10" s="7" t="n"/>
      <c r="H10" s="6" t="n"/>
      <c r="I10" s="87" t="inlineStr">
        <is>
          <t>SUBSCRIPTION_MODEL 1.1</t>
        </is>
      </c>
    </row>
    <row r="11" ht="58" customHeight="1">
      <c r="A11" s="54" t="n">
        <v>6</v>
      </c>
      <c r="B11" s="54" t="inlineStr">
        <is>
          <t>REVENUE</t>
        </is>
      </c>
      <c r="C11" s="54" t="inlineStr">
        <is>
          <t>Run 150 RA / boutique-PMS / small-AMC conversations -&gt; 20-40 paid seats</t>
        </is>
      </c>
      <c r="D11" s="87" t="inlineStr">
        <is>
          <t>THE HIGHEST-VALUE ACTIVITY ON THIS SHEET. 40 seats at Rs 2,999/mo = Rs 1.2L MRR at 90.8% contribution margin, vs 100 retail Pro subs = Rs 42K MRR. This same list is your angel pipeline (Band 1). It produces revenue whether or not it produces a cheque.</t>
        </is>
      </c>
      <c r="E11" s="5" t="inlineStr">
        <is>
          <t>4-6w</t>
        </is>
      </c>
      <c r="F11" s="6" t="inlineStr">
        <is>
          <t>Not started</t>
        </is>
      </c>
      <c r="G11" s="7" t="n"/>
      <c r="H11" s="6" t="n"/>
      <c r="I11" s="87" t="inlineStr">
        <is>
          <t>SUBSCRIPTION_MODEL 4.4</t>
        </is>
      </c>
    </row>
    <row r="12" ht="58" customHeight="1">
      <c r="A12" s="54" t="n">
        <v>7</v>
      </c>
      <c r="B12" s="54" t="inlineStr">
        <is>
          <t>REVENUE</t>
        </is>
      </c>
      <c r="C12" s="54" t="inlineStr">
        <is>
          <t>Sign 2-3 SEBI-registered RAs as advisors: 0.5-1% each, FAST terms, 2y vest, 3m cliff</t>
        </is>
      </c>
      <c r="D12" s="87" t="inlineStr">
        <is>
          <t>~2% total buys regulatory credibility + the B2B channel + investor-callable validation. Recruit them from the conversations you are already having. Do NOT hunt a finance co-founder instead.</t>
        </is>
      </c>
      <c r="E12" s="5" t="inlineStr">
        <is>
          <t>2w</t>
        </is>
      </c>
      <c r="F12" s="6" t="inlineStr">
        <is>
          <t>Not started</t>
        </is>
      </c>
      <c r="G12" s="7" t="n"/>
      <c r="H12" s="6" t="n"/>
      <c r="I12" s="87" t="inlineStr">
        <is>
          <t>sec 3.5</t>
        </is>
      </c>
    </row>
    <row r="13" ht="58" customHeight="1">
      <c r="A13" s="54" t="n">
        <v>8</v>
      </c>
      <c r="B13" s="54" t="inlineStr">
        <is>
          <t>REVENUE</t>
        </is>
      </c>
      <c r="C13" s="54" t="inlineStr">
        <is>
          <t>Sell the Screener comparison explicitly on the pricing page</t>
        </is>
      </c>
      <c r="D13" s="87" t="inlineStr">
        <is>
          <t>Screener Premium: Rs 4,999/yr with ~17-50 AI answers included, then Rs 10-30 each. Anvest Pro at Rs 4,999/yr with 1,500 answers included would cost Rs 15,000-45,000 at their published rates. Our cost for those answers is Rs 540. This is a verifiable published-price comparison and should be the pricing-page headline.</t>
        </is>
      </c>
      <c r="E13" s="5" t="inlineStr">
        <is>
          <t>2d</t>
        </is>
      </c>
      <c r="F13" s="6" t="inlineStr">
        <is>
          <t>Not started</t>
        </is>
      </c>
      <c r="G13" s="7" t="n"/>
      <c r="H13" s="6" t="n"/>
      <c r="I13" s="87" t="inlineStr">
        <is>
          <t>SUBSCRIPTION_MODEL 4.2</t>
        </is>
      </c>
    </row>
    <row r="14" ht="58" customHeight="1">
      <c r="A14" s="49" t="n">
        <v>9</v>
      </c>
      <c r="B14" s="49" t="inlineStr">
        <is>
          <t>TRUST</t>
        </is>
      </c>
      <c r="C14" s="49" t="inlineStr">
        <is>
          <t>Badge B8: render 'standalone - consolidated not filed' wherever substitution happens</t>
        </is>
      </c>
      <c r="D14" s="89" t="inlineStr">
        <is>
          <t>~4,517 symbol-FY periods currently served silently. Screener AI now makes spot-checking your numbers trivial for anyone. Turns the worst liability into a trust feature.</t>
        </is>
      </c>
      <c r="E14" s="8" t="inlineStr">
        <is>
          <t>2d</t>
        </is>
      </c>
      <c r="F14" s="6" t="inlineStr">
        <is>
          <t>Not started</t>
        </is>
      </c>
      <c r="G14" s="7" t="n"/>
      <c r="H14" s="6" t="n"/>
      <c r="I14" s="89" t="inlineStr">
        <is>
          <t>sec 3.2</t>
        </is>
      </c>
    </row>
    <row r="15" ht="58" customHeight="1">
      <c r="A15" s="49" t="n">
        <v>10</v>
      </c>
      <c r="B15" s="49" t="inlineStr">
        <is>
          <t>TRUST</t>
        </is>
      </c>
      <c r="C15" s="49" t="inlineStr">
        <is>
          <t>Flag B9's ~3,170 suspect quarterly rows; suppress from AI answers and score inputs</t>
        </is>
      </c>
      <c r="D15" s="89" t="inlineStr">
        <is>
          <t>If a partner or a paying RA spot-checks one symbol and finds an implausible number, the entire trust thesis inverts.</t>
        </is>
      </c>
      <c r="E15" s="8" t="inlineStr">
        <is>
          <t>2d</t>
        </is>
      </c>
      <c r="F15" s="6" t="inlineStr">
        <is>
          <t>Not started</t>
        </is>
      </c>
      <c r="G15" s="7" t="n"/>
      <c r="H15" s="6" t="n"/>
      <c r="I15" s="89" t="inlineStr">
        <is>
          <t>sec 3.2</t>
        </is>
      </c>
    </row>
    <row r="16" ht="58" customHeight="1">
      <c r="A16" s="49" t="n">
        <v>11</v>
      </c>
      <c r="B16" s="49" t="inlineStr">
        <is>
          <t>TRUST</t>
        </is>
      </c>
      <c r="C16" s="49" t="inlineStr">
        <is>
          <t>Render citations (doc title + date + link) in every copilot answer</t>
        </is>
      </c>
      <c r="D16" s="89" t="inlineStr">
        <is>
          <t>The payload already carries url/date. Single most visible proof of the core claim. UI work only.</t>
        </is>
      </c>
      <c r="E16" s="8" t="inlineStr">
        <is>
          <t>1d</t>
        </is>
      </c>
      <c r="F16" s="6" t="inlineStr">
        <is>
          <t>Not started</t>
        </is>
      </c>
      <c r="G16" s="7" t="n"/>
      <c r="H16" s="6" t="n"/>
      <c r="I16" s="89" t="inlineStr">
        <is>
          <t>sec 3.2</t>
        </is>
      </c>
    </row>
    <row r="17" ht="58" customHeight="1">
      <c r="A17" s="49" t="n">
        <v>12</v>
      </c>
      <c r="B17" s="49" t="inlineStr">
        <is>
          <t>TRUST</t>
        </is>
      </c>
      <c r="C17" s="49" t="inlineStr">
        <is>
          <t>Migrate serving off the Mac to a VM</t>
        </is>
      </c>
      <c r="D17" s="89" t="inlineStr">
        <is>
          <t>Hard gate before any investor demo. A demo that dies mid-call ends the process. e2-standard-4 ~$100/mo or Hetzner ~EUR40/mo.</t>
        </is>
      </c>
      <c r="E17" s="8" t="inlineStr">
        <is>
          <t>1w</t>
        </is>
      </c>
      <c r="F17" s="6" t="inlineStr">
        <is>
          <t>Not started</t>
        </is>
      </c>
      <c r="G17" s="7" t="n"/>
      <c r="H17" s="6" t="n"/>
      <c r="I17" s="89" t="inlineStr">
        <is>
          <t>sec 3.3</t>
        </is>
      </c>
    </row>
    <row r="18" ht="58" customHeight="1">
      <c r="A18" s="49" t="n">
        <v>13</v>
      </c>
      <c r="B18" s="49" t="inlineStr">
        <is>
          <t>TRUST</t>
        </is>
      </c>
      <c r="C18" s="49" t="inlineStr">
        <is>
          <t>Wire PostHog: banner seen -&gt; clicked -&gt; question asked -&gt; thumbs rating, per AI surface</t>
        </is>
      </c>
      <c r="D18" s="89" t="inlineStr">
        <is>
          <t>Without this there is no retention curve in November - and the retention curve is the entire YC reapplication and half the investor pitch.</t>
        </is>
      </c>
      <c r="E18" s="8" t="inlineStr">
        <is>
          <t>1d</t>
        </is>
      </c>
      <c r="F18" s="6" t="inlineStr">
        <is>
          <t>Not started</t>
        </is>
      </c>
      <c r="G18" s="7" t="n"/>
      <c r="H18" s="6" t="n"/>
      <c r="I18" s="89" t="inlineStr">
        <is>
          <t>sec 3.1</t>
        </is>
      </c>
    </row>
    <row r="19" ht="58" customHeight="1">
      <c r="A19" s="49" t="n">
        <v>14</v>
      </c>
      <c r="B19" s="49" t="inlineStr">
        <is>
          <t>TRUST</t>
        </is>
      </c>
      <c r="C19" s="49" t="inlineStr">
        <is>
          <t>Hard product copy rules: no buy/sell/hold, no target prices, score labelled a data summary</t>
        </is>
      </c>
      <c r="D19" s="89" t="inlineStr">
        <is>
          <t>SEBI has ruled 'educational' disclaimers do NOT exempt actionable signals. Free to fix now, expensive later. Also a B2B FEATURE: an RA wants your evidence, not your opinion, so they can put their own name on the call.</t>
        </is>
      </c>
      <c r="E19" s="8" t="inlineStr">
        <is>
          <t>4h</t>
        </is>
      </c>
      <c r="F19" s="6" t="inlineStr">
        <is>
          <t>Not started</t>
        </is>
      </c>
      <c r="G19" s="7" t="n"/>
      <c r="H19" s="6" t="n"/>
      <c r="I19" s="89" t="inlineStr">
        <is>
          <t>sec 3.7</t>
        </is>
      </c>
    </row>
    <row r="20" ht="58" customHeight="1">
      <c r="A20" s="49" t="n">
        <v>15</v>
      </c>
      <c r="B20" s="49" t="inlineStr">
        <is>
          <t>TRUST</t>
        </is>
      </c>
      <c r="C20" s="49" t="inlineStr">
        <is>
          <t>File the Vertex quota raise</t>
        </is>
      </c>
      <c r="D20" s="89" t="inlineStr">
        <is>
          <t>Free, takes days to process. 429s at 2-6 concurrent will not survive any traffic spike.</t>
        </is>
      </c>
      <c r="E20" s="8" t="inlineStr">
        <is>
          <t>15m</t>
        </is>
      </c>
      <c r="F20" s="6" t="inlineStr">
        <is>
          <t>Not started</t>
        </is>
      </c>
      <c r="G20" s="7" t="n"/>
      <c r="H20" s="6" t="n"/>
      <c r="I20" s="89" t="inlineStr">
        <is>
          <t>sec 3.10</t>
        </is>
      </c>
    </row>
    <row r="21" ht="58" customHeight="1">
      <c r="A21" s="49" t="n">
        <v>16</v>
      </c>
      <c r="B21" s="49" t="inlineStr">
        <is>
          <t>TRUST</t>
        </is>
      </c>
      <c r="C21" s="49" t="inlineStr">
        <is>
          <t>Rerun the golden eval; PUBLISH Recall@5 in docs/</t>
        </is>
      </c>
      <c r="D21" s="89" t="inlineStr">
        <is>
          <t>Turns 'we built good AI' into evidence. No competitor publishes anything comparable. Note the current suite is 30 questions and cannot yet prove retrieval quality - expand it before publishing.</t>
        </is>
      </c>
      <c r="E21" s="8" t="inlineStr">
        <is>
          <t>2d</t>
        </is>
      </c>
      <c r="F21" s="6" t="inlineStr">
        <is>
          <t>Not started</t>
        </is>
      </c>
      <c r="G21" s="7" t="n"/>
      <c r="H21" s="6" t="n"/>
      <c r="I21" s="89" t="inlineStr">
        <is>
          <t>sec 10</t>
        </is>
      </c>
    </row>
    <row r="22" ht="58" customHeight="1">
      <c r="A22" s="49" t="n">
        <v>17</v>
      </c>
      <c r="B22" s="49" t="inlineStr">
        <is>
          <t>TRUST</t>
        </is>
      </c>
      <c r="C22" s="49" t="inlineStr">
        <is>
          <t>Publish a public data-corrections changelog</t>
        </is>
      </c>
      <c r="D22" s="89" t="inlineStr">
        <is>
          <t>Every number you got wrong and when you fixed it. Nobody in this market will do this. It is the artifact that answers the trust question before it is asked.</t>
        </is>
      </c>
      <c r="E22" s="8" t="inlineStr">
        <is>
          <t>1d</t>
        </is>
      </c>
      <c r="F22" s="6" t="inlineStr">
        <is>
          <t>Not started</t>
        </is>
      </c>
      <c r="G22" s="7" t="n"/>
      <c r="H22" s="6" t="n"/>
      <c r="I22" s="89" t="inlineStr">
        <is>
          <t>sec 3.2</t>
        </is>
      </c>
    </row>
    <row r="23" ht="58" customHeight="1">
      <c r="A23" s="49" t="n">
        <v>18</v>
      </c>
      <c r="B23" s="49" t="inlineStr">
        <is>
          <t>TRUST</t>
        </is>
      </c>
      <c r="C23" s="49" t="inlineStr">
        <is>
          <t>Anonymous sample questions: 3 free copilot questions, no sign-in</t>
        </is>
      </c>
      <c r="D23" s="89" t="inlineStr">
        <is>
          <t>The copilot IS the onboarding. Today anonymous users hit 'session expired' console errors.</t>
        </is>
      </c>
      <c r="E23" s="8" t="inlineStr">
        <is>
          <t>1d</t>
        </is>
      </c>
      <c r="F23" s="6" t="inlineStr">
        <is>
          <t>Not started</t>
        </is>
      </c>
      <c r="G23" s="7" t="n"/>
      <c r="H23" s="6" t="n"/>
      <c r="I23" s="89" t="inlineStr">
        <is>
          <t>sec 4.2</t>
        </is>
      </c>
    </row>
    <row r="24" ht="58" customHeight="1">
      <c r="A24" s="49" t="n">
        <v>19</v>
      </c>
      <c r="B24" s="49" t="inlineStr">
        <is>
          <t>TRUST</t>
        </is>
      </c>
      <c r="C24" s="49" t="inlineStr">
        <is>
          <t>Deploy pending fixes: rebuild broker-portfolio container, push market-ui, redeploy query-api, launchd install</t>
        </is>
      </c>
      <c r="D24" s="89" t="inlineStr">
        <is>
          <t>Until these ship, production answers are recency-only and jobs die on reboot. Everything else is invisible.</t>
        </is>
      </c>
      <c r="E24" s="8" t="inlineStr">
        <is>
          <t>1d</t>
        </is>
      </c>
      <c r="F24" s="6" t="inlineStr">
        <is>
          <t>Not started</t>
        </is>
      </c>
      <c r="G24" s="7" t="n"/>
      <c r="H24" s="6" t="n"/>
      <c r="I24" s="89" t="inlineStr">
        <is>
          <t>sec 3.1</t>
        </is>
      </c>
    </row>
    <row r="25" ht="58" customHeight="1">
      <c r="A25" s="59" t="n">
        <v>20</v>
      </c>
      <c r="B25" s="59" t="inlineStr">
        <is>
          <t>PREP</t>
        </is>
      </c>
      <c r="C25" s="59" t="inlineStr">
        <is>
          <t>Scrub EVERY YC reference from deck, one-pager, emails and tracker</t>
        </is>
      </c>
      <c r="D25" s="90" t="inlineStr">
        <is>
          <t>The application was one of three legs holding up the $5.0M cap. That leg is gone. No "applied to YC", no "decision pending", no YC standard terms used as a comparison on the ask slide.</t>
        </is>
      </c>
      <c r="E25" s="9" t="inlineStr">
        <is>
          <t>2h</t>
        </is>
      </c>
      <c r="F25" s="6" t="inlineStr">
        <is>
          <t>Not started</t>
        </is>
      </c>
      <c r="G25" s="7" t="n"/>
      <c r="H25" s="6" t="n"/>
      <c r="I25" s="90" t="inlineStr">
        <is>
          <t>sec 9</t>
        </is>
      </c>
    </row>
    <row r="26" ht="58" customHeight="1">
      <c r="A26" s="59" t="n">
        <v>21</v>
      </c>
      <c r="B26" s="59" t="inlineStr">
        <is>
          <t>PREP</t>
        </is>
      </c>
      <c r="C26" s="59" t="inlineStr">
        <is>
          <t>Rebuild the deck: real traction numbers + rewritten competitive slide</t>
        </is>
      </c>
      <c r="D26" s="90" t="inlineStr">
        <is>
          <t>Slide 6 says 'zero users' and slide 5 says nobody is in the middle of the market. BOTH ARE NOW FALSE. Replace slide 6 with actuals; rewrite slide 5 around the Screener published-price comparison - which is a STRONGER slide than the one it replaces.</t>
        </is>
      </c>
      <c r="E26" s="9" t="inlineStr">
        <is>
          <t>1d</t>
        </is>
      </c>
      <c r="F26" s="6" t="inlineStr">
        <is>
          <t>Not started</t>
        </is>
      </c>
      <c r="G26" s="7" t="n"/>
      <c r="H26" s="6" t="n"/>
      <c r="I26" s="90" t="inlineStr">
        <is>
          <t>sec 11</t>
        </is>
      </c>
    </row>
    <row r="27" ht="58" customHeight="1">
      <c r="A27" s="59" t="n">
        <v>22</v>
      </c>
      <c r="B27" s="59" t="inlineStr">
        <is>
          <t>PREP</t>
        </is>
      </c>
      <c r="C27" s="59" t="inlineStr">
        <is>
          <t>Update the ask slide + one-pager to the $3.5M cap / $400K base / up to $700K</t>
        </is>
      </c>
      <c r="D27" s="90" t="inlineStr">
        <is>
          <t>Terms changed 2026-09-03. Any document still showing $5.0M is a document that contradicts the next one the investor sees.</t>
        </is>
      </c>
      <c r="E27" s="9" t="inlineStr">
        <is>
          <t>3h</t>
        </is>
      </c>
      <c r="F27" s="6" t="inlineStr">
        <is>
          <t>Not started</t>
        </is>
      </c>
      <c r="G27" s="7" t="n"/>
      <c r="H27" s="6" t="n"/>
      <c r="I27" s="90" t="inlineStr">
        <is>
          <t>sec 7.1</t>
        </is>
      </c>
    </row>
    <row r="28" ht="58" customHeight="1">
      <c r="A28" s="59" t="n">
        <v>23</v>
      </c>
      <c r="B28" s="59" t="inlineStr">
        <is>
          <t>PREP</t>
        </is>
      </c>
      <c r="C28" s="59" t="inlineStr">
        <is>
          <t>Assemble the data room</t>
        </is>
      </c>
      <c r="D28" s="90" t="inlineStr">
        <is>
          <t>Incorporation, cap table, founder IP assignment, statutory filings, demo video, architecture doc, provenance memo, eval results, telemetry export, unit economics, compliance roadmap with RA timeline.</t>
        </is>
      </c>
      <c r="E28" s="9" t="inlineStr">
        <is>
          <t>2d</t>
        </is>
      </c>
      <c r="F28" s="6" t="inlineStr">
        <is>
          <t>Not started</t>
        </is>
      </c>
      <c r="G28" s="7" t="n"/>
      <c r="H28" s="6" t="n"/>
      <c r="I28" s="90" t="inlineStr">
        <is>
          <t>sec 12</t>
        </is>
      </c>
    </row>
    <row r="29" ht="58" customHeight="1">
      <c r="A29" s="59" t="n">
        <v>24</v>
      </c>
      <c r="B29" s="59" t="inlineStr">
        <is>
          <t>PREP</t>
        </is>
      </c>
      <c r="C29" s="59" t="inlineStr">
        <is>
          <t>DECISION POINT 2 NOV: apply to YC Winter 2027 only if there is revenue or a real retention curve</t>
        </is>
      </c>
      <c r="D29" s="90" t="inlineStr">
        <is>
          <t>Deadline 2 Nov 2026 8pm PT, decisions 11 Dec, batch Jan-Mar 2027. The form asks what changed since last time and THAT QUESTION IS THE APPLICATION. A second rejection on unchanged facts burns it for the next cycle too. ~4h given the existing answer bank.</t>
        </is>
      </c>
      <c r="E29" s="9" t="inlineStr">
        <is>
          <t>4h</t>
        </is>
      </c>
      <c r="F29" s="6" t="inlineStr">
        <is>
          <t>Not started</t>
        </is>
      </c>
      <c r="G29" s="7" t="n"/>
      <c r="H29" s="6" t="n"/>
      <c r="I29" s="90" t="inlineStr">
        <is>
          <t>sec 9</t>
        </is>
      </c>
    </row>
    <row r="30" ht="58" customHeight="1">
      <c r="A30" s="101" t="n">
        <v>25</v>
      </c>
      <c r="B30" s="101" t="inlineStr">
        <is>
          <t>RAISE</t>
        </is>
      </c>
      <c r="C30" s="101" t="inlineStr">
        <is>
          <t>Open Band 1: Category B angels (SEBI RAs / PMS) - from the same list you are already selling to</t>
        </is>
      </c>
      <c r="D30" s="92" t="inlineStr">
        <is>
          <t>Highest-probability money available. They diligence the data by using it. Capital + revenue + feedback + compliance cover in one relationship.</t>
        </is>
      </c>
      <c r="E30" s="91" t="inlineStr">
        <is>
          <t>2w</t>
        </is>
      </c>
      <c r="F30" s="6" t="inlineStr">
        <is>
          <t>Not started</t>
        </is>
      </c>
      <c r="G30" s="7" t="n"/>
      <c r="H30" s="6" t="n"/>
      <c r="I30" s="92" t="inlineStr">
        <is>
          <t>sec 8</t>
        </is>
      </c>
    </row>
    <row r="31" ht="58" customHeight="1">
      <c r="A31" s="101" t="n">
        <v>26</v>
      </c>
      <c r="B31" s="101" t="inlineStr">
        <is>
          <t>RAISE</t>
        </is>
      </c>
      <c r="C31" s="101" t="inlineStr">
        <is>
          <t>Open Band 1: Category C creator angels, with a demo run on their own portfolio</t>
        </is>
      </c>
      <c r="D31" s="92" t="inlineStr">
        <is>
          <t>Capital AND distribution in one cap-table line. Get the promotional copy reviewed for SEBI advertising rules first.</t>
        </is>
      </c>
      <c r="E31" s="91" t="inlineStr">
        <is>
          <t>2w</t>
        </is>
      </c>
      <c r="F31" s="6" t="inlineStr">
        <is>
          <t>Not started</t>
        </is>
      </c>
      <c r="G31" s="7" t="n"/>
      <c r="H31" s="6" t="n"/>
      <c r="I31" s="92" t="inlineStr">
        <is>
          <t>sec 8</t>
        </is>
      </c>
    </row>
    <row r="32" ht="58" customHeight="1">
      <c r="A32" s="101" t="n">
        <v>27</v>
      </c>
      <c r="B32" s="101" t="inlineStr">
        <is>
          <t>RAISE</t>
        </is>
      </c>
      <c r="C32" s="101" t="inlineStr">
        <is>
          <t>Approach Eximius Ventures - the anchor institutional attempt</t>
        </is>
      </c>
      <c r="D32" s="92" t="inlineStr">
        <is>
          <t>Best-matched institutional fit in the country: pre-seed, fintech thesis, ~$500K cheque, invests at exactly this stage, $30M Fund II with a mandate to deploy. No time wasted explaining XBRL or SEBI RA.</t>
        </is>
      </c>
      <c r="E32" s="91" t="inlineStr">
        <is>
          <t>1w</t>
        </is>
      </c>
      <c r="F32" s="6" t="inlineStr">
        <is>
          <t>Not started</t>
        </is>
      </c>
      <c r="G32" s="7" t="n"/>
      <c r="H32" s="6" t="n"/>
      <c r="I32" s="92" t="inlineStr">
        <is>
          <t>sec 8</t>
        </is>
      </c>
    </row>
    <row r="33" ht="58" customHeight="1">
      <c r="A33" s="101" t="n">
        <v>28</v>
      </c>
      <c r="B33" s="101" t="inlineStr">
        <is>
          <t>RAISE</t>
        </is>
      </c>
      <c r="C33" s="101" t="inlineStr">
        <is>
          <t>Run the Band 2 micro-VC process: 15-20 first meetings</t>
        </is>
      </c>
      <c r="D33" s="92" t="inlineStr">
        <is>
          <t>Better Capital, All In, Gemba, Sparrow, Titan, Whiteboard. Any one can take the whole $400K base. At a $3.5M cap you are offering better than their own 8-12% convention implies.</t>
        </is>
      </c>
      <c r="E33" s="91" t="inlineStr">
        <is>
          <t>3w</t>
        </is>
      </c>
      <c r="F33" s="6" t="inlineStr">
        <is>
          <t>Not started</t>
        </is>
      </c>
      <c r="G33" s="7" t="n"/>
      <c r="H33" s="6" t="n"/>
      <c r="I33" s="92" t="inlineStr">
        <is>
          <t>sec 8</t>
        </is>
      </c>
    </row>
    <row r="34" ht="58" customHeight="1">
      <c r="A34" s="101" t="n">
        <v>29</v>
      </c>
      <c r="B34" s="101" t="inlineStr">
        <is>
          <t>RAISE</t>
        </is>
      </c>
      <c r="C34" s="101" t="inlineStr">
        <is>
          <t>Approach Rainmatter with the integration deck - in parallel, not first</t>
        </is>
      </c>
      <c r="D34" s="92" t="inlineStr">
        <is>
          <t>Recalibrated: their 2026 deployment is climate/health, fintech is third by concentration. Still the best thematic fit and still worth doing - but do not let the round timing depend on it. Raise the Tickertape conflict yourself in meeting one.</t>
        </is>
      </c>
      <c r="E34" s="91" t="inlineStr">
        <is>
          <t>1w</t>
        </is>
      </c>
      <c r="F34" s="6" t="inlineStr">
        <is>
          <t>Not started</t>
        </is>
      </c>
      <c r="G34" s="7" t="n"/>
      <c r="H34" s="6" t="n"/>
      <c r="I34" s="92" t="inlineStr">
        <is>
          <t>sec 8</t>
        </is>
      </c>
    </row>
    <row r="35" ht="58" customHeight="1">
      <c r="A35" s="101" t="n">
        <v>30</v>
      </c>
      <c r="B35" s="101" t="inlineStr">
        <is>
          <t>RAISE</t>
        </is>
      </c>
      <c r="C35" s="101" t="inlineStr">
        <is>
          <t>Groww as a BD/corp-dev conversation, Template C, no equity ask up front</t>
        </is>
      </c>
      <c r="D35" s="92" t="inlineStr">
        <is>
          <t>Groww Ventures' history is opportunistic infra investing and Groww ships a competing research surface. Lead with partnership.</t>
        </is>
      </c>
      <c r="E35" s="91" t="inlineStr">
        <is>
          <t>3d</t>
        </is>
      </c>
      <c r="F35" s="6" t="inlineStr">
        <is>
          <t>Not started</t>
        </is>
      </c>
      <c r="G35" s="7" t="n"/>
      <c r="H35" s="6" t="n"/>
      <c r="I35" s="92" t="inlineStr">
        <is>
          <t>sec 8</t>
        </is>
      </c>
    </row>
    <row r="36" ht="58" customHeight="1">
      <c r="A36" s="101" t="n">
        <v>31</v>
      </c>
      <c r="B36" s="101" t="inlineStr">
        <is>
          <t>RAISE</t>
        </is>
      </c>
      <c r="C36" s="101" t="inlineStr">
        <is>
          <t>Meet Lightspeed / Accel / Bertelsmann / Vertex SEA&amp;India for RELATIONSHIP only - explicitly 'not raising'</t>
        </is>
      </c>
      <c r="D36" s="92" t="inlineStr">
        <is>
          <t>Costs nothing, starts the seed warm. Lightspeed led Centricity's $20M; Bertelsmann backed Univest; Vertex led Wint Wealth's $27M.</t>
        </is>
      </c>
      <c r="E36" s="91" t="inlineStr">
        <is>
          <t>2w</t>
        </is>
      </c>
      <c r="F36" s="6" t="inlineStr">
        <is>
          <t>Not started</t>
        </is>
      </c>
      <c r="G36" s="7" t="n"/>
      <c r="H36" s="6" t="n"/>
      <c r="I36" s="92" t="inlineStr">
        <is>
          <t>sec 8</t>
        </is>
      </c>
    </row>
    <row r="37" ht="58" customHeight="1">
      <c r="A37" s="101" t="n">
        <v>32</v>
      </c>
      <c r="B37" s="101" t="inlineStr">
        <is>
          <t>RAISE</t>
        </is>
      </c>
      <c r="C37" s="101" t="inlineStr">
        <is>
          <t>Partner meetings, diligence, negotiate</t>
        </is>
      </c>
      <c r="D37" s="92" t="inlineStr">
        <is>
          <t>Realistic: 8-14 weeks from the first serious conversation to a first cheque.</t>
        </is>
      </c>
      <c r="E37" s="91" t="inlineStr">
        <is>
          <t>4w</t>
        </is>
      </c>
      <c r="F37" s="6" t="inlineStr">
        <is>
          <t>Not started</t>
        </is>
      </c>
      <c r="G37" s="7" t="n"/>
      <c r="H37" s="6" t="n"/>
      <c r="I37" s="92" t="inlineStr">
        <is>
          <t>sec 12</t>
        </is>
      </c>
    </row>
    <row r="38" ht="58" customHeight="1">
      <c r="A38" s="101" t="n">
        <v>33</v>
      </c>
      <c r="B38" s="101" t="inlineStr">
        <is>
          <t>RAISE</t>
        </is>
      </c>
      <c r="C38" s="101" t="inlineStr">
        <is>
          <t>CLOSE: $400K at the $3.5M cap, upsize toward $700K if there is demand</t>
        </is>
      </c>
      <c r="D38" s="92" t="inlineStr">
        <is>
          <t>Target Jan-Feb 2027. If runway does not reach it, take 100X.VC-shaped dilution consciously or stay employed longer - both beat a six-month round that reprices downward in public.</t>
        </is>
      </c>
      <c r="E38" s="91" t="inlineStr">
        <is>
          <t>-</t>
        </is>
      </c>
      <c r="F38" s="6" t="inlineStr">
        <is>
          <t>Not started</t>
        </is>
      </c>
      <c r="G38" s="7" t="n"/>
      <c r="H38" s="6" t="n"/>
      <c r="I38" s="92" t="inlineStr">
        <is>
          <t>sec 7.1</t>
        </is>
      </c>
    </row>
    <row r="39" ht="58" customHeight="1">
      <c r="A39" s="101" t="n">
        <v>34</v>
      </c>
      <c r="B39" s="101" t="inlineStr">
        <is>
          <t>RAISE</t>
        </is>
      </c>
      <c r="C39" s="101" t="inlineStr">
        <is>
          <t>FALLBACK ONLY: 100X.VC application</t>
        </is>
      </c>
      <c r="D39" s="92" t="inlineStr">
        <is>
          <t>Rs 1.25Cr for 15% implies ~Rs 8.3Cr post - it reprices your round. Do NOT run in parallel with Band 1-2 conversations; it undercuts your own cap. Use only if Bands 1-2 stall.</t>
        </is>
      </c>
      <c r="E39" s="91" t="inlineStr">
        <is>
          <t>1d</t>
        </is>
      </c>
      <c r="F39" s="6" t="inlineStr">
        <is>
          <t>Not started</t>
        </is>
      </c>
      <c r="G39" s="7" t="n"/>
      <c r="H39" s="6" t="n"/>
      <c r="I39" s="92" t="inlineStr">
        <is>
          <t>sec 8</t>
        </is>
      </c>
    </row>
    <row r="40" ht="34" customHeight="1">
      <c r="A40" s="53" t="n"/>
      <c r="B40" s="53" t="n"/>
      <c r="C40" s="54" t="n"/>
      <c r="D40" s="55" t="n"/>
      <c r="E40" s="56" t="n"/>
      <c r="F40" s="35" t="n"/>
      <c r="G40" s="39" t="n"/>
      <c r="H40" s="40" t="n"/>
      <c r="I40" s="57" t="n"/>
    </row>
    <row r="41" ht="34" customHeight="1">
      <c r="A41" s="53" t="n"/>
      <c r="B41" s="53" t="n"/>
      <c r="C41" s="54" t="inlineStr">
        <is>
          <t>Tasks done</t>
        </is>
      </c>
      <c r="D41" s="55" t="n"/>
      <c r="E41" s="53">
        <f>COUNTIF(F6:F39,"Done")&amp;" / 34"</f>
        <v/>
      </c>
      <c r="F41" s="35" t="n"/>
      <c r="G41" s="39" t="n"/>
      <c r="H41" s="40" t="n"/>
      <c r="I41" s="57" t="n"/>
    </row>
    <row r="42" ht="34" customHeight="1">
      <c r="A42" s="58" t="n"/>
      <c r="B42" s="58" t="n"/>
      <c r="C42" s="59" t="inlineStr">
        <is>
          <t>Blocked right now</t>
        </is>
      </c>
      <c r="D42" s="60" t="n"/>
      <c r="E42" s="58">
        <f>COUNTIF(F6:F39,"Blocked")</f>
        <v/>
      </c>
      <c r="F42" s="35" t="n"/>
      <c r="G42" s="39" t="n"/>
      <c r="H42" s="40" t="n"/>
      <c r="I42" s="62" t="n"/>
    </row>
    <row r="43" ht="34" customHeight="1">
      <c r="A43" s="58" t="n"/>
      <c r="B43" s="58" t="n"/>
      <c r="C43" s="59" t="inlineStr">
        <is>
          <t>Revenue tasks remaining (the gate on investor outreach)</t>
        </is>
      </c>
      <c r="D43" s="60" t="n"/>
      <c r="E43" s="58">
        <f>COUNTIFS(B6:B39,"REVENUE",F6:F39,"&lt;&gt;Done")</f>
        <v/>
      </c>
      <c r="F43" s="35" t="n"/>
      <c r="G43" s="39" t="n"/>
      <c r="H43" s="40" t="n"/>
      <c r="I43" s="62" t="n"/>
    </row>
    <row r="44" ht="48" customHeight="1">
      <c r="A44" s="58" t="n"/>
      <c r="B44" s="58" t="n"/>
      <c r="C44" s="59" t="n"/>
      <c r="D44" s="60" t="n"/>
      <c r="E44" s="61" t="n"/>
      <c r="F44" s="35" t="n"/>
      <c r="G44" s="39" t="n"/>
      <c r="H44" s="40" t="n"/>
      <c r="I44" s="62" t="n"/>
    </row>
    <row r="45" ht="48" customHeight="1">
      <c r="A45" s="102" t="inlineStr">
        <is>
          <t>THE SIX BANDS</t>
        </is>
      </c>
      <c r="B45" s="58" t="n"/>
      <c r="C45" s="59" t="n"/>
      <c r="D45" s="60" t="n"/>
      <c r="E45" s="61" t="n"/>
      <c r="F45" s="35" t="n"/>
      <c r="G45" s="39" t="n"/>
      <c r="H45" s="40" t="n"/>
      <c r="I45" s="62" t="n"/>
    </row>
    <row r="46" ht="30" customHeight="1">
      <c r="A46" s="58" t="inlineStr">
        <is>
          <t>BLOCK</t>
        </is>
      </c>
      <c r="B46" s="58" t="n"/>
      <c r="C46" s="90" t="inlineStr">
        <is>
          <t>Three cheap, boring items that can each kill a closing round on their own. Week one.</t>
        </is>
      </c>
      <c r="D46" s="97" t="n"/>
      <c r="E46" s="97" t="n"/>
      <c r="F46" s="97" t="n"/>
      <c r="G46" s="97" t="n"/>
      <c r="H46" s="97" t="n"/>
      <c r="I46" s="98" t="n"/>
    </row>
    <row r="47" ht="30" customHeight="1">
      <c r="A47" s="58" t="inlineStr">
        <is>
          <t>DEADLINE</t>
        </is>
      </c>
      <c r="B47" s="58" t="n"/>
      <c r="C47" s="90" t="inlineStr">
        <is>
          <t>Hard external date: Vertex retires the 2.5 model family ~16 Oct 2026. Production breaks without the migration.</t>
        </is>
      </c>
      <c r="D47" s="97" t="n"/>
      <c r="E47" s="97" t="n"/>
      <c r="F47" s="97" t="n"/>
      <c r="G47" s="97" t="n"/>
      <c r="H47" s="97" t="n"/>
      <c r="I47" s="98" t="n"/>
    </row>
    <row r="48" ht="30" customHeight="1">
      <c r="A48" s="58" t="inlineStr">
        <is>
          <t>REVENUE</t>
        </is>
      </c>
      <c r="B48" s="58" t="n"/>
      <c r="C48" s="90" t="inlineStr">
        <is>
          <t>THE NEW GATE. Investor outreach opens when the first seats are PAID, not when the checklist is clean. One paying customer changes the pitch more than ten fixed issues.</t>
        </is>
      </c>
      <c r="D48" s="97" t="n"/>
      <c r="E48" s="97" t="n"/>
      <c r="F48" s="97" t="n"/>
      <c r="G48" s="97" t="n"/>
      <c r="H48" s="97" t="n"/>
      <c r="I48" s="98" t="n"/>
    </row>
    <row r="49" ht="30" customHeight="1">
      <c r="A49" s="58" t="inlineStr">
        <is>
          <t>TRUST</t>
        </is>
      </c>
      <c r="B49" s="58" t="n"/>
      <c r="C49" s="90" t="inlineStr">
        <is>
          <t>Make the product safe to show a paying RA and then an investor. Cut down from the old 22-item band to what someone will actually notice.</t>
        </is>
      </c>
      <c r="D49" s="97" t="n"/>
      <c r="E49" s="97" t="n"/>
      <c r="F49" s="97" t="n"/>
      <c r="G49" s="97" t="n"/>
      <c r="H49" s="97" t="n"/>
      <c r="I49" s="98" t="n"/>
    </row>
    <row r="50" ht="30" customHeight="1">
      <c r="A50" s="58" t="inlineStr">
        <is>
          <t>PREP</t>
        </is>
      </c>
      <c r="B50" s="58" t="n"/>
      <c r="C50" s="90" t="inlineStr">
        <is>
          <t>Materials and the 2 Nov YC decision. Cannot start until there are real numbers to put in the deck.</t>
        </is>
      </c>
      <c r="D50" s="97" t="n"/>
      <c r="E50" s="97" t="n"/>
      <c r="F50" s="97" t="n"/>
      <c r="G50" s="97" t="n"/>
      <c r="H50" s="97" t="n"/>
      <c r="I50" s="98" t="n"/>
    </row>
    <row r="51" ht="30" customHeight="1">
      <c r="A51" s="58" t="inlineStr">
        <is>
          <t>RAISE</t>
        </is>
      </c>
      <c r="B51" s="58" t="n"/>
      <c r="C51" s="90" t="inlineStr">
        <is>
          <t>Investor process, in probability order (FUNDING_PLAN.md section 8). Realistic close: Jan-Feb 2027.</t>
        </is>
      </c>
      <c r="D51" s="97" t="n"/>
      <c r="E51" s="97" t="n"/>
      <c r="F51" s="97" t="n"/>
      <c r="G51" s="97" t="n"/>
      <c r="H51" s="97" t="n"/>
      <c r="I51" s="98" t="n"/>
    </row>
    <row r="52">
      <c r="A52" s="58" t="n"/>
      <c r="B52" s="58" t="n"/>
      <c r="C52" s="59" t="n"/>
      <c r="D52" s="60" t="n"/>
      <c r="E52" s="61" t="n"/>
      <c r="F52" s="35" t="n"/>
      <c r="G52" s="39" t="n"/>
      <c r="H52" s="40" t="n"/>
      <c r="I52" s="62" t="n"/>
    </row>
    <row r="53">
      <c r="A53" s="102" t="inlineStr">
        <is>
          <t>THE ONE RULE</t>
        </is>
      </c>
      <c r="B53" s="58" t="n"/>
      <c r="C53" s="59" t="n"/>
      <c r="D53" s="60" t="n"/>
      <c r="E53" s="85" t="n"/>
      <c r="F53" s="35" t="n"/>
      <c r="G53" s="39" t="n"/>
      <c r="H53" s="40" t="n"/>
      <c r="I53" s="62" t="n"/>
    </row>
    <row r="54" ht="34" customHeight="1">
      <c r="A54" s="59" t="inlineStr">
        <is>
          <t>Customer outreach starts NOW. Investor outreach waits for the first paid seat. These were previously conflated as one "do not pitch yet" rule, and that cost six months of sequencing - an RA evaluating a Rs 2,999 seat forgives rough edges an investor will not.</t>
        </is>
      </c>
      <c r="B54" s="97" t="n"/>
      <c r="C54" s="97" t="n"/>
      <c r="D54" s="97" t="n"/>
      <c r="E54" s="97" t="n"/>
      <c r="F54" s="97" t="n"/>
      <c r="G54" s="97" t="n"/>
      <c r="H54" s="97" t="n"/>
      <c r="I54" s="98" t="n"/>
    </row>
    <row r="55">
      <c r="C55" s="11" t="n"/>
      <c r="E55" s="63" t="n"/>
    </row>
    <row r="56" ht="26" customHeight="1">
      <c r="C56" s="11" t="n"/>
      <c r="E56" s="63" t="n"/>
    </row>
    <row r="57" ht="26" customHeight="1">
      <c r="C57" s="11" t="n"/>
      <c r="E57" s="63" t="n"/>
    </row>
    <row r="58" ht="30" customHeight="1">
      <c r="A58" s="11" t="n"/>
      <c r="C58" s="11" t="n"/>
      <c r="E58" s="63" t="n"/>
    </row>
    <row r="59" ht="26" customHeight="1">
      <c r="A59" s="65" t="n"/>
      <c r="C59" s="13" t="n"/>
    </row>
    <row r="60" ht="26" customHeight="1">
      <c r="A60" s="66" t="n"/>
      <c r="C60" s="13" t="n"/>
    </row>
    <row r="61" ht="26" customHeight="1">
      <c r="A61" s="86" t="n"/>
      <c r="C61" s="70" t="n"/>
    </row>
    <row r="62" ht="26" customHeight="1">
      <c r="A62" s="66" t="n"/>
      <c r="C62" s="13" t="n"/>
    </row>
    <row r="63" ht="26" customHeight="1">
      <c r="A63" s="67" t="n"/>
      <c r="C63" s="13" t="n"/>
    </row>
    <row r="64" ht="26" customHeight="1">
      <c r="A64" s="65" t="n"/>
      <c r="C64" s="13" t="n"/>
    </row>
    <row r="65">
      <c r="A65" s="66" t="n"/>
      <c r="C65" s="13" t="n"/>
    </row>
    <row r="66">
      <c r="A66" s="67" t="n"/>
      <c r="C66" s="13" t="n"/>
    </row>
    <row r="67" ht="30" customHeight="1">
      <c r="A67" s="68" t="n"/>
      <c r="C67" s="13" t="n"/>
    </row>
    <row r="69">
      <c r="A69" s="69" t="n"/>
    </row>
    <row r="70">
      <c r="A70" s="70" t="n"/>
    </row>
  </sheetData>
  <mergeCells count="7">
    <mergeCell ref="C50:I50"/>
    <mergeCell ref="C48:I48"/>
    <mergeCell ref="C49:I49"/>
    <mergeCell ref="C46:I46"/>
    <mergeCell ref="C47:I47"/>
    <mergeCell ref="C51:I51"/>
    <mergeCell ref="A54:I54"/>
  </mergeCells>
  <dataValidations count="3">
    <dataValidation sqref="F6:F49" showDropDown="0" showInputMessage="0" showErrorMessage="0" allowBlank="1" type="list">
      <formula1>"Not started,In progress,Done,Blocked,Skipped"</formula1>
    </dataValidation>
    <dataValidation sqref="F6:F50" showDropDown="0" showInputMessage="0" showErrorMessage="0" allowBlank="1" type="list">
      <formula1>"Not started,In progress,Done,Blocked,Skipped"</formula1>
    </dataValidation>
    <dataValidation sqref="F6:F51" showDropDown="0" showInputMessage="0" showErrorMessage="0" allowBlank="1" type="list">
      <formula1>"Not started,In progress,Done,Blocked,Skipped"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0" customWidth="1" min="1" max="1"/>
    <col width="26" customWidth="1" min="2" max="2"/>
    <col width="24" customWidth="1" min="3" max="3"/>
    <col width="16" customWidth="1" min="4" max="4"/>
    <col width="16" customWidth="1" min="5" max="5"/>
    <col width="40" customWidth="1" min="6" max="6"/>
  </cols>
  <sheetData>
    <row r="1">
      <c r="A1" s="1" t="inlineStr">
        <is>
          <t>Pre-Outreach Metrics Gate — do not pitch until the Status column is green</t>
        </is>
      </c>
    </row>
    <row r="2">
      <c r="A2" s="2" t="inlineStr">
        <is>
          <t>From FUNDING_PLAN.md section 10. 'I don't measure that' is the wrong answer to every one of these — and today it is the answer to most.</t>
        </is>
      </c>
    </row>
    <row r="4">
      <c r="A4" s="4" t="inlineStr">
        <is>
          <t>Metric</t>
        </is>
      </c>
      <c r="B4" s="4" t="inlineStr">
        <is>
          <t>Today</t>
        </is>
      </c>
      <c r="C4" s="4" t="inlineStr">
        <is>
          <t>Target before outreach</t>
        </is>
      </c>
      <c r="D4" s="4" t="inlineStr">
        <is>
          <t>Current value</t>
        </is>
      </c>
      <c r="E4" s="4" t="inlineStr">
        <is>
          <t>Gate met?</t>
        </is>
      </c>
      <c r="F4" s="4" t="inlineStr">
        <is>
          <t>How to get it</t>
        </is>
      </c>
    </row>
    <row r="5" ht="30" customHeight="1">
      <c r="A5" s="24" t="inlineStr">
        <is>
          <t>MAU</t>
        </is>
      </c>
      <c r="B5" s="34" t="inlineStr">
        <is>
          <t>0</t>
        </is>
      </c>
      <c r="C5" s="23" t="inlineStr">
        <is>
          <t>500</t>
        </is>
      </c>
      <c r="D5" s="35" t="n"/>
      <c r="E5" s="36">
        <f>IF(D5="","-","check")</f>
        <v/>
      </c>
      <c r="F5" s="37" t="inlineStr">
        <is>
          <t>PostHog, week 1</t>
        </is>
      </c>
    </row>
    <row r="6" ht="30" customHeight="1">
      <c r="A6" s="24" t="inlineStr">
        <is>
          <t>DAU</t>
        </is>
      </c>
      <c r="B6" s="34" t="inlineStr">
        <is>
          <t>0</t>
        </is>
      </c>
      <c r="C6" s="23" t="inlineStr">
        <is>
          <t>125</t>
        </is>
      </c>
      <c r="D6" s="35" t="n"/>
      <c r="E6" s="36">
        <f>IF(D6="","-","check")</f>
        <v/>
      </c>
      <c r="F6" s="37" t="inlineStr">
        <is>
          <t>PostHog, week 1</t>
        </is>
      </c>
    </row>
    <row r="7" ht="30" customHeight="1">
      <c r="A7" s="24" t="inlineStr">
        <is>
          <t>DAU/MAU</t>
        </is>
      </c>
      <c r="B7" s="34" t="inlineStr">
        <is>
          <t>n/a</t>
        </is>
      </c>
      <c r="C7" s="23" t="inlineStr">
        <is>
          <t>25%+</t>
        </is>
      </c>
      <c r="D7" s="35" t="n"/>
      <c r="E7" s="36">
        <f>IF(D7="","-","check")</f>
        <v/>
      </c>
      <c r="F7" s="37" t="inlineStr">
        <is>
          <t>Proactive digest is the mechanism - ship it week 4</t>
        </is>
      </c>
    </row>
    <row r="8" ht="30" customHeight="1">
      <c r="A8" s="24" t="inlineStr">
        <is>
          <t>D7 retention</t>
        </is>
      </c>
      <c r="B8" s="34" t="inlineStr">
        <is>
          <t>unmeasured</t>
        </is>
      </c>
      <c r="C8" s="23" t="inlineStr">
        <is>
          <t>40%+</t>
        </is>
      </c>
      <c r="D8" s="35" t="n"/>
      <c r="E8" s="36">
        <f>IF(D8="","-","check")</f>
        <v/>
      </c>
      <c r="F8" s="37" t="inlineStr">
        <is>
          <t>PostHog cohorts</t>
        </is>
      </c>
    </row>
    <row r="9" ht="30" customHeight="1">
      <c r="A9" s="24" t="inlineStr">
        <is>
          <t>D30 retention</t>
        </is>
      </c>
      <c r="B9" s="34" t="inlineStr">
        <is>
          <t>unmeasured</t>
        </is>
      </c>
      <c r="C9" s="23" t="inlineStr">
        <is>
          <t>25%+</t>
        </is>
      </c>
      <c r="D9" s="35" t="n"/>
      <c r="E9" s="36">
        <f>IF(D9="","-","check")</f>
        <v/>
      </c>
      <c r="F9" s="37" t="inlineStr">
        <is>
          <t>PostHog cohorts</t>
        </is>
      </c>
    </row>
    <row r="10" ht="30" customHeight="1">
      <c r="A10" s="24" t="inlineStr">
        <is>
          <t>Questions per active user per week</t>
        </is>
      </c>
      <c r="B10" s="34" t="inlineStr">
        <is>
          <t>unmeasured</t>
        </is>
      </c>
      <c r="C10" s="23" t="inlineStr">
        <is>
          <t>3+</t>
        </is>
      </c>
      <c r="D10" s="35" t="n"/>
      <c r="E10" s="36">
        <f>IF(D10="","-","check")</f>
        <v/>
      </c>
      <c r="F10" s="37" t="inlineStr">
        <is>
          <t>Copilot telemetry (D2)</t>
        </is>
      </c>
    </row>
    <row r="11" ht="30" customHeight="1">
      <c r="A11" s="24" t="inlineStr">
        <is>
          <t>Answer thumbs-up rate</t>
        </is>
      </c>
      <c r="B11" s="34" t="inlineStr">
        <is>
          <t>unmeasured</t>
        </is>
      </c>
      <c r="C11" s="23" t="inlineStr">
        <is>
          <t>75%+</t>
        </is>
      </c>
      <c r="D11" s="35" t="n"/>
      <c r="E11" s="36">
        <f>IF(D11="","-","check")</f>
        <v/>
      </c>
      <c r="F11" s="37" t="inlineStr">
        <is>
          <t>Feedback widget -&gt; ResearchCopilotLog</t>
        </is>
      </c>
    </row>
    <row r="12" ht="30" customHeight="1">
      <c r="A12" s="24" t="inlineStr">
        <is>
          <t>Retrieval Recall@5 (golden set)</t>
        </is>
      </c>
      <c r="B12" s="34" t="inlineStr">
        <is>
          <t>measured pre-fix, NOT rerun</t>
        </is>
      </c>
      <c r="C12" s="23" t="inlineStr">
        <is>
          <t>0.80+, published</t>
        </is>
      </c>
      <c r="D12" s="35" t="n"/>
      <c r="E12" s="36">
        <f>IF(D12="","-","check")</f>
        <v/>
      </c>
      <c r="F12" s="37" t="inlineStr">
        <is>
          <t>Rerun evaluate_copilot.py on the 150-question set, week 3. THE single number that turns your AI claim into evidence.</t>
        </is>
      </c>
    </row>
    <row r="13" ht="30" customHeight="1">
      <c r="A13" s="24" t="inlineStr">
        <is>
          <t>MRR (Rs)</t>
        </is>
      </c>
      <c r="B13" s="34" t="inlineStr">
        <is>
          <t>0</t>
        </is>
      </c>
      <c r="C13" s="23" t="inlineStr">
        <is>
          <t>1,00,000+</t>
        </is>
      </c>
      <c r="D13" s="35" t="n"/>
      <c r="E13" s="36">
        <f>IF(D13="","-","check")</f>
        <v/>
      </c>
      <c r="F13" s="37" t="inlineStr">
        <is>
          <t>30 professional seats at Rs 3,000 + 20 retail at Rs 249</t>
        </is>
      </c>
    </row>
    <row r="14" ht="30" customHeight="1">
      <c r="A14" s="24" t="inlineStr">
        <is>
          <t>Paying users / seats</t>
        </is>
      </c>
      <c r="B14" s="34" t="inlineStr">
        <is>
          <t>0</t>
        </is>
      </c>
      <c r="C14" s="23" t="inlineStr">
        <is>
          <t>20 retail + 30 pro</t>
        </is>
      </c>
      <c r="D14" s="35" t="n"/>
      <c r="E14" s="36">
        <f>IF(D14="","-","check")</f>
        <v/>
      </c>
      <c r="F14" s="37" t="inlineStr">
        <is>
          <t>~150 RA/PMS conversations, weeks 5-8</t>
        </is>
      </c>
    </row>
    <row r="15" ht="30" customHeight="1">
      <c r="A15" s="24" t="inlineStr">
        <is>
          <t>CAC</t>
        </is>
      </c>
      <c r="B15" s="34" t="inlineStr">
        <is>
          <t>n/a</t>
        </is>
      </c>
      <c r="C15" s="23" t="inlineStr">
        <is>
          <t>~0 organic + 1 paid data point</t>
        </is>
      </c>
      <c r="D15" s="35" t="n"/>
      <c r="E15" s="36">
        <f>IF(D15="","-","check")</f>
        <v/>
      </c>
      <c r="F15" s="37" t="inlineStr">
        <is>
          <t>ITR channel + SEO + one small paid test</t>
        </is>
      </c>
    </row>
    <row r="16" ht="30" customHeight="1">
      <c r="A16" s="24" t="inlineStr">
        <is>
          <t>LLM cost per active user</t>
        </is>
      </c>
      <c r="B16" s="34" t="inlineStr">
        <is>
          <t>aggregate only</t>
        </is>
      </c>
      <c r="C16" s="23" t="inlineStr">
        <is>
          <t>&lt;20% of ARPU</t>
        </is>
      </c>
      <c r="D16" s="35" t="n"/>
      <c r="E16" s="36">
        <f>IF(D16="","-","check")</f>
        <v/>
      </c>
      <c r="F16" s="37" t="inlineStr">
        <is>
          <t>Per-user token attribution in telemetry</t>
        </is>
      </c>
    </row>
    <row r="17" ht="30" customHeight="1">
      <c r="A17" s="24" t="inlineStr">
        <is>
          <t>Uptime</t>
        </is>
      </c>
      <c r="B17" s="34" t="inlineStr">
        <is>
          <t>untracked</t>
        </is>
      </c>
      <c r="C17" s="23" t="inlineStr">
        <is>
          <t>99.5%+</t>
        </is>
      </c>
      <c r="D17" s="35" t="n"/>
      <c r="E17" s="36">
        <f>IF(D17="","-","check")</f>
        <v/>
      </c>
      <c r="F17" s="37" t="inlineStr">
        <is>
          <t>Migrate off the Mac, then monitor</t>
        </is>
      </c>
    </row>
    <row r="18" ht="30" customHeight="1">
      <c r="A18" s="24" t="inlineStr">
        <is>
          <t>Sean Ellis 'very disappointed'</t>
        </is>
      </c>
      <c r="B18" s="34" t="inlineStr">
        <is>
          <t>n/a</t>
        </is>
      </c>
      <c r="C18" s="23" t="inlineStr">
        <is>
          <t>40%+</t>
        </is>
      </c>
      <c r="D18" s="35" t="n"/>
      <c r="E18" s="36">
        <f>IF(D18="","-","check")</f>
        <v/>
      </c>
      <c r="F18" s="37" t="inlineStr">
        <is>
          <t>Survey the alpha cohort at week 8</t>
        </is>
      </c>
    </row>
    <row r="20" ht="30" customHeight="1">
      <c r="A20" s="24" t="inlineStr">
        <is>
          <t>RA advisors signed (FAST terms)</t>
        </is>
      </c>
      <c r="B20" s="34" t="inlineStr">
        <is>
          <t>0</t>
        </is>
      </c>
      <c r="C20" s="23" t="inlineStr">
        <is>
          <t>2-3</t>
        </is>
      </c>
      <c r="D20" s="40" t="n"/>
      <c r="E20" s="71">
        <f>IF(D20="","-","check")</f>
        <v/>
      </c>
      <c r="F20" s="37" t="inlineStr">
        <is>
          <t>Your B2B pipeline is the same pipeline - §3.5</t>
        </is>
      </c>
    </row>
    <row r="21" ht="30" customHeight="1">
      <c r="A21" s="24" t="inlineStr">
        <is>
          <t>Data-provenance memo + counsel review</t>
        </is>
      </c>
      <c r="B21" s="34" t="inlineStr">
        <is>
          <t>not written</t>
        </is>
      </c>
      <c r="C21" s="23" t="inlineStr">
        <is>
          <t>Done</t>
        </is>
      </c>
      <c r="D21" s="40" t="n"/>
      <c r="E21" s="71">
        <f>IF(D21="","-","check")</f>
        <v/>
      </c>
      <c r="F21" s="37" t="inlineStr">
        <is>
          <t>Lead with 'bhavcopy EOD, 7pm'. Blocker for institutional diligence only - §3.4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6" customWidth="1" min="2" max="2"/>
    <col width="15" customWidth="1" min="3" max="3"/>
    <col width="16" customWidth="1" min="4" max="4"/>
    <col width="9" customWidth="1" min="5" max="5"/>
    <col width="11" customWidth="1" min="6" max="6"/>
    <col width="46" customWidth="1" min="7" max="7"/>
    <col width="34" customWidth="1" min="8" max="8"/>
    <col width="30" customWidth="1" min="9" max="9"/>
    <col width="9" customWidth="1" min="10" max="10"/>
    <col width="15" customWidth="1" min="11" max="11"/>
    <col width="10" customWidth="1" min="12" max="12"/>
    <col width="26" customWidth="1" min="13" max="13"/>
    <col width="15" customWidth="1" min="14" max="14"/>
    <col width="30" customWidth="1" min="15" max="15"/>
  </cols>
  <sheetData>
    <row r="1">
      <c r="A1" s="1" t="inlineStr">
        <is>
          <t>Anvest Fintech Pvt Ltd - Investor Target Tracker (RANKED BY PROBABILITY)</t>
        </is>
      </c>
    </row>
    <row r="2">
      <c r="A2" s="2" t="inlineStr">
        <is>
          <t>REVISED 2026-09-03, post-YC-rejection. Target: fixed $3.5M post-money cap, $400K base (11.4%), room to $700K (20%) - same terms for every investor. Sorted by PROBABILITY OF A CHEQUE IN 90 DAYS, not by brand or fit. See FUNDING_PLAN.md section 8.</t>
        </is>
      </c>
    </row>
    <row r="3">
      <c r="A3" s="3" t="inlineStr">
        <is>
          <t>EDIT ONLY the yellow columns (Status, Owner, Next Action, Date, Notes). Investor outreach opens when the FIRST SEATS ARE PAID - not when the checklist is clean (FUNDING_PLAN.md section 12). Customer outreach starts now.</t>
        </is>
      </c>
    </row>
    <row r="5" ht="28" customHeight="1">
      <c r="A5" s="4" t="inlineStr">
        <is>
          <t>Tier</t>
        </is>
      </c>
      <c r="B5" s="4" t="inlineStr">
        <is>
          <t>Name</t>
        </is>
      </c>
      <c r="C5" s="4" t="inlineStr">
        <is>
          <t>Type</t>
        </is>
      </c>
      <c r="D5" s="4" t="inlineStr">
        <is>
          <t>Cheque size</t>
        </is>
      </c>
      <c r="E5" s="4" t="inlineStr">
        <is>
          <t>Leads?</t>
        </is>
      </c>
      <c r="F5" s="4" t="inlineStr">
        <is>
          <t>Thesis fit</t>
        </is>
      </c>
      <c r="G5" s="4" t="inlineStr">
        <is>
          <t>Why them / fit rationale</t>
        </is>
      </c>
      <c r="H5" s="4" t="inlineStr">
        <is>
          <t>Risk or caveat</t>
        </is>
      </c>
      <c r="I5" s="4" t="inlineStr">
        <is>
          <t>Warm-intro path</t>
        </is>
      </c>
      <c r="J5" s="4" t="inlineStr">
        <is>
          <t>Priority</t>
        </is>
      </c>
      <c r="K5" s="4" t="inlineStr">
        <is>
          <t>Status</t>
        </is>
      </c>
      <c r="L5" s="4" t="inlineStr">
        <is>
          <t>Owner</t>
        </is>
      </c>
      <c r="M5" s="4" t="inlineStr">
        <is>
          <t>Next action</t>
        </is>
      </c>
      <c r="N5" s="4" t="inlineStr">
        <is>
          <t>Next action date</t>
        </is>
      </c>
      <c r="O5" s="4" t="inlineStr">
        <is>
          <t>Notes</t>
        </is>
      </c>
    </row>
    <row r="6" ht="78" customHeight="1">
      <c r="A6" s="5" t="inlineStr">
        <is>
          <t>B1</t>
        </is>
      </c>
      <c r="B6" s="5" t="inlineStr">
        <is>
          <t>SEBI-registered RAs / boutique PMS / ex-brokerage product heads</t>
        </is>
      </c>
      <c r="C6" s="5" t="inlineStr">
        <is>
          <t>Angel (Cat B)</t>
        </is>
      </c>
      <c r="D6" s="5" t="inlineStr">
        <is>
          <t>Rs 10-25L each</t>
        </is>
      </c>
      <c r="E6" s="5" t="inlineStr">
        <is>
          <t>No</t>
        </is>
      </c>
      <c r="F6" s="5" t="inlineStr">
        <is>
          <t>Very high</t>
        </is>
      </c>
      <c r="G6" s="87" t="inlineStr">
        <is>
          <t>HIGHEST PROBABILITY MONEY AVAILABLE. They are also the customer: an RA paying Rs 2,999/mo for a Desk seat has already diligenced the data by using it. Capital + first revenue + product feedback + regulatory cover in one relationship. The sales pipeline and the angel pipeline are the SAME list (SUBSCRIPTION_MODEL 4.4).</t>
        </is>
      </c>
      <c r="H6" s="87" t="inlineStr">
        <is>
          <t>Small cheques - need 8-15. Not a lead. Some will want advisory equity instead of paying cash - that is fine, take both.</t>
        </is>
      </c>
      <c r="I6" s="87" t="inlineStr">
        <is>
          <t>SEBI RA public register; LinkedIn; fintwit. LEAD WITH A SEAT, NOT A RAISE.</t>
        </is>
      </c>
      <c r="J6" s="5" t="inlineStr">
        <is>
          <t>P0</t>
        </is>
      </c>
      <c r="K6" s="6" t="inlineStr">
        <is>
          <t>Not started</t>
        </is>
      </c>
      <c r="L6" s="6" t="inlineStr">
        <is>
          <t>Harsh</t>
        </is>
      </c>
      <c r="M6" s="6" t="n"/>
      <c r="N6" s="7" t="n"/>
      <c r="O6" s="88" t="inlineStr">
        <is>
          <t>Start here. This is simultaneously task #1 of the traction plan and the raise.</t>
        </is>
      </c>
    </row>
    <row r="7" ht="78" customHeight="1">
      <c r="A7" s="5" t="inlineStr">
        <is>
          <t>B1</t>
        </is>
      </c>
      <c r="B7" s="5" t="inlineStr">
        <is>
          <t>Finfluencers, fundamentals-focused (50-300K subs)</t>
        </is>
      </c>
      <c r="C7" s="5" t="inlineStr">
        <is>
          <t>Angel (Cat C)</t>
        </is>
      </c>
      <c r="D7" s="5" t="inlineStr">
        <is>
          <t>Rs 5-25L each</t>
        </is>
      </c>
      <c r="E7" s="5" t="inlineStr">
        <is>
          <t>No</t>
        </is>
      </c>
      <c r="F7" s="5" t="inlineStr">
        <is>
          <t>Very high</t>
        </is>
      </c>
      <c r="G7" s="87" t="inlineStr">
        <is>
          <t>Capital AND distribution in one cap-table line. Highest-leverage entry available to a solo consumer-fintech founder. Structure as small cheque + revenue-share referral.</t>
        </is>
      </c>
      <c r="H7" s="87" t="inlineStr">
        <is>
          <t>SEBI advertising/advice rules apply to a creator promoting a research product. Get copy reviewed. Avoid anyone who sells tips - wrong audience, and a liability at RA registration.</t>
        </is>
      </c>
      <c r="I7" s="87" t="inlineStr">
        <is>
          <t>Direct DM with a working demo run on THEIR OWN portfolio.</t>
        </is>
      </c>
      <c r="J7" s="5" t="inlineStr">
        <is>
          <t>P0</t>
        </is>
      </c>
      <c r="K7" s="6" t="inlineStr">
        <is>
          <t>Not started</t>
        </is>
      </c>
      <c r="L7" s="6" t="inlineStr">
        <is>
          <t>Harsh</t>
        </is>
      </c>
      <c r="M7" s="6" t="n"/>
      <c r="N7" s="7" t="n"/>
      <c r="O7" s="88" t="n"/>
    </row>
    <row r="8" ht="78" customHeight="1">
      <c r="A8" s="5" t="inlineStr">
        <is>
          <t>B1</t>
        </is>
      </c>
      <c r="B8" s="5" t="inlineStr">
        <is>
          <t>Eximius Ventures</t>
        </is>
      </c>
      <c r="C8" s="5" t="inlineStr">
        <is>
          <t>Micro-VC (fintech thesis)</t>
        </is>
      </c>
      <c r="D8" s="5" t="inlineStr">
        <is>
          <t>~$500K initial</t>
        </is>
      </c>
      <c r="E8" s="5" t="inlineStr">
        <is>
          <t>Yes</t>
        </is>
      </c>
      <c r="F8" s="5" t="inlineStr">
        <is>
          <t>Very high</t>
        </is>
      </c>
      <c r="G8" s="87" t="inlineStr">
        <is>
          <t>BEST INSTITUTIONAL FIT IN THE COUNTRY for this company. Pre-seed fund, Delhi NCR + Bengaluru, FinTech is a named vertical. Invests at pre-product / early-traction - exactly where 60 users and no revenue sits. Fund II is $30M targeting 25-30 companies = fresh capital with a mandate. 34 investments, 4 in trailing 12mo. Fintech portfolio: Jar, Finarkein, Vegapay.</t>
        </is>
      </c>
      <c r="H8" s="87" t="inlineStr">
        <is>
          <t>Small fund - $500K is a full position for them, so expect real diligence. No obvious warm path yet.</t>
        </is>
      </c>
      <c r="I8" s="87" t="inlineStr">
        <is>
          <t>Direct via eximiusvc.com; portfolio-founder intro (Finarkein is the closest thematic neighbour).</t>
        </is>
      </c>
      <c r="J8" s="5" t="inlineStr">
        <is>
          <t>P0</t>
        </is>
      </c>
      <c r="K8" s="6" t="inlineStr">
        <is>
          <t>Not started</t>
        </is>
      </c>
      <c r="L8" s="6" t="inlineStr">
        <is>
          <t>Harsh</t>
        </is>
      </c>
      <c r="M8" s="6" t="n"/>
      <c r="N8" s="7" t="n"/>
      <c r="O8" s="88" t="inlineStr">
        <is>
          <t>Treat as the anchor institutional attempt. A fintech thesis means zero time spent explaining XBRL or SEBI RA.</t>
        </is>
      </c>
    </row>
    <row r="9" ht="78" customHeight="1">
      <c r="A9" s="8" t="inlineStr">
        <is>
          <t>B2</t>
        </is>
      </c>
      <c r="B9" s="8" t="inlineStr">
        <is>
          <t>Better Capital</t>
        </is>
      </c>
      <c r="C9" s="8" t="inlineStr">
        <is>
          <t>Micro-VC</t>
        </is>
      </c>
      <c r="D9" s="8" t="inlineStr">
        <is>
          <t>$500-800K</t>
        </is>
      </c>
      <c r="E9" s="8" t="inlineStr">
        <is>
          <t>Yes</t>
        </is>
      </c>
      <c r="F9" s="8" t="inlineStr">
        <is>
          <t>High</t>
        </is>
      </c>
      <c r="G9" s="89" t="inlineStr">
        <is>
          <t>India's largest pre-seed fund by volume - 200+ companies, solo-GP model. Backs technical first-time founders, which is exactly this profile. Fast, decisive, low-ceremony.</t>
        </is>
      </c>
      <c r="H9" s="89" t="inlineStr">
        <is>
          <t>Highly selective; very high inbound volume.</t>
        </is>
      </c>
      <c r="I9" s="89" t="inlineStr">
        <is>
          <t>Direct application; the team is responsive on X/Twitter.</t>
        </is>
      </c>
      <c r="J9" s="8" t="inlineStr">
        <is>
          <t>P1</t>
        </is>
      </c>
      <c r="K9" s="6" t="inlineStr">
        <is>
          <t>Not started</t>
        </is>
      </c>
      <c r="L9" s="6" t="inlineStr">
        <is>
          <t>Harsh</t>
        </is>
      </c>
      <c r="M9" s="6" t="n"/>
      <c r="N9" s="7" t="n"/>
      <c r="O9" s="88" t="n"/>
    </row>
    <row r="10" ht="78" customHeight="1">
      <c r="A10" s="8" t="inlineStr">
        <is>
          <t>B2</t>
        </is>
      </c>
      <c r="B10" s="8" t="inlineStr">
        <is>
          <t>All In Capital</t>
        </is>
      </c>
      <c r="C10" s="8" t="inlineStr">
        <is>
          <t>Micro-VC</t>
        </is>
      </c>
      <c r="D10" s="8" t="inlineStr">
        <is>
          <t>$500-800K</t>
        </is>
      </c>
      <c r="E10" s="8" t="inlineStr">
        <is>
          <t>Yes</t>
        </is>
      </c>
      <c r="F10" s="8" t="inlineStr">
        <is>
          <t>High</t>
        </is>
      </c>
      <c r="G10" s="89" t="inlineStr">
        <is>
          <t>Fund II+. Active pre-seed lead, 8-12% typical stake, founder-friendly reputation. Can take the whole $400K base.</t>
        </is>
      </c>
      <c r="H10" s="89" t="inlineStr">
        <is>
          <t>Sub-$40M fund - limited reserves for follow-on.</t>
        </is>
      </c>
      <c r="I10" s="89" t="inlineStr">
        <is>
          <t>Blume's validated micro-VC list; direct.</t>
        </is>
      </c>
      <c r="J10" s="8" t="inlineStr">
        <is>
          <t>P1</t>
        </is>
      </c>
      <c r="K10" s="6" t="inlineStr">
        <is>
          <t>Not started</t>
        </is>
      </c>
      <c r="L10" s="6" t="inlineStr">
        <is>
          <t>Harsh</t>
        </is>
      </c>
      <c r="M10" s="6" t="n"/>
      <c r="N10" s="7" t="n"/>
      <c r="O10" s="88" t="n"/>
    </row>
    <row r="11" ht="78" customHeight="1">
      <c r="A11" s="8" t="inlineStr">
        <is>
          <t>B2</t>
        </is>
      </c>
      <c r="B11" s="8" t="inlineStr">
        <is>
          <t>Gemba Capital</t>
        </is>
      </c>
      <c r="C11" s="8" t="inlineStr">
        <is>
          <t>Micro-VC</t>
        </is>
      </c>
      <c r="D11" s="8" t="inlineStr">
        <is>
          <t>$500-800K</t>
        </is>
      </c>
      <c r="E11" s="8" t="inlineStr">
        <is>
          <t>Yes</t>
        </is>
      </c>
      <c r="F11" s="8" t="inlineStr">
        <is>
          <t>Med-high</t>
        </is>
      </c>
      <c r="G11" s="89" t="inlineStr">
        <is>
          <t>Sector-agnostic India pre-seed, writes lead cheques, active through 2026.</t>
        </is>
      </c>
      <c r="H11" s="89" t="inlineStr">
        <is>
          <t>Less fintech-specific depth than Eximius.</t>
        </is>
      </c>
      <c r="I11" s="89" t="inlineStr">
        <is>
          <t>Blume list; direct.</t>
        </is>
      </c>
      <c r="J11" s="8" t="inlineStr">
        <is>
          <t>P1</t>
        </is>
      </c>
      <c r="K11" s="6" t="inlineStr">
        <is>
          <t>Not started</t>
        </is>
      </c>
      <c r="L11" s="6" t="inlineStr">
        <is>
          <t>Harsh</t>
        </is>
      </c>
      <c r="M11" s="6" t="n"/>
      <c r="N11" s="7" t="n"/>
      <c r="O11" s="88" t="n"/>
    </row>
    <row r="12" ht="78" customHeight="1">
      <c r="A12" s="8" t="inlineStr">
        <is>
          <t>B2</t>
        </is>
      </c>
      <c r="B12" s="8" t="inlineStr">
        <is>
          <t>Sparrow Capital</t>
        </is>
      </c>
      <c r="C12" s="8" t="inlineStr">
        <is>
          <t>Micro-VC</t>
        </is>
      </c>
      <c r="D12" s="8" t="inlineStr">
        <is>
          <t>$500-800K</t>
        </is>
      </c>
      <c r="E12" s="8" t="inlineStr">
        <is>
          <t>Yes</t>
        </is>
      </c>
      <c r="F12" s="8" t="inlineStr">
        <is>
          <t>Med-high</t>
        </is>
      </c>
      <c r="G12" s="89" t="inlineStr">
        <is>
          <t>Third fund (~Rs 400Cr) aimed at the seed end. Fresh capital that must be deployed is the most favourable condition to pitch into.</t>
        </is>
      </c>
      <c r="H12" s="89" t="inlineStr">
        <is>
          <t>Newer process; confirm they can lead at this size.</t>
        </is>
      </c>
      <c r="I12" s="89" t="inlineStr">
        <is>
          <t>Blume list; Bengaluru ecosystem intros.</t>
        </is>
      </c>
      <c r="J12" s="8" t="inlineStr">
        <is>
          <t>P1</t>
        </is>
      </c>
      <c r="K12" s="6" t="inlineStr">
        <is>
          <t>Not started</t>
        </is>
      </c>
      <c r="L12" s="6" t="inlineStr">
        <is>
          <t>Harsh</t>
        </is>
      </c>
      <c r="M12" s="6" t="n"/>
      <c r="N12" s="7" t="n"/>
      <c r="O12" s="88" t="n"/>
    </row>
    <row r="13" ht="78" customHeight="1">
      <c r="A13" s="8" t="inlineStr">
        <is>
          <t>B2</t>
        </is>
      </c>
      <c r="B13" s="8" t="inlineStr">
        <is>
          <t>Titan Capital</t>
        </is>
      </c>
      <c r="C13" s="8" t="inlineStr">
        <is>
          <t>Micro-VC</t>
        </is>
      </c>
      <c r="D13" s="8" t="inlineStr">
        <is>
          <t>$500-800K</t>
        </is>
      </c>
      <c r="E13" s="8" t="inlineStr">
        <is>
          <t>Yes</t>
        </is>
      </c>
      <c r="F13" s="8" t="inlineStr">
        <is>
          <t>Med-high</t>
        </is>
      </c>
      <c r="G13" s="89" t="inlineStr">
        <is>
          <t>Kunal Bahl / Rohit Bansal. Pre-seed native, Fund III. Strong downstream signalling value for the seed round.</t>
        </is>
      </c>
      <c r="H13" s="89" t="inlineStr">
        <is>
          <t>Sector-agnostic - more educating required. Competitive process.</t>
        </is>
      </c>
      <c r="I13" s="89" t="inlineStr">
        <is>
          <t>LinkedIn to team; portfolio founder intro; apply via site.</t>
        </is>
      </c>
      <c r="J13" s="8" t="inlineStr">
        <is>
          <t>P1</t>
        </is>
      </c>
      <c r="K13" s="6" t="inlineStr">
        <is>
          <t>Not started</t>
        </is>
      </c>
      <c r="L13" s="6" t="inlineStr">
        <is>
          <t>Harsh</t>
        </is>
      </c>
      <c r="M13" s="6" t="n"/>
      <c r="N13" s="7" t="n"/>
      <c r="O13" s="88" t="inlineStr">
        <is>
          <t>Worth the process for the signal alone.</t>
        </is>
      </c>
    </row>
    <row r="14" ht="78" customHeight="1">
      <c r="A14" s="8" t="inlineStr">
        <is>
          <t>B2</t>
        </is>
      </c>
      <c r="B14" s="8" t="inlineStr">
        <is>
          <t>Whiteboard Capital / Inuka VC / Zeropearl / OTP Ventures</t>
        </is>
      </c>
      <c r="C14" s="8" t="inlineStr">
        <is>
          <t>Micro-VC</t>
        </is>
      </c>
      <c r="D14" s="8" t="inlineStr">
        <is>
          <t>$300-750K</t>
        </is>
      </c>
      <c r="E14" s="8" t="inlineStr">
        <is>
          <t>Sometimes</t>
        </is>
      </c>
      <c r="F14" s="8" t="inlineStr">
        <is>
          <t>Medium</t>
        </is>
      </c>
      <c r="G14" s="89" t="inlineStr">
        <is>
          <t>The rest of the matured micro-VC tier (200-250+ funds in India by 2026, avg size now $25-30M). Sub-$40M funds lead $500-800K for 8-12% - at a $3.5M cap they are being offered a better price than their own convention.</t>
        </is>
      </c>
      <c r="H14" s="89" t="inlineStr">
        <is>
          <t>Smaller cheques; several follow rather than lead.</t>
        </is>
      </c>
      <c r="I14" s="89" t="inlineStr">
        <is>
          <t>Blume list.</t>
        </is>
      </c>
      <c r="J14" s="8" t="inlineStr">
        <is>
          <t>P2</t>
        </is>
      </c>
      <c r="K14" s="6" t="inlineStr">
        <is>
          <t>Not started</t>
        </is>
      </c>
      <c r="L14" s="6" t="inlineStr">
        <is>
          <t>Harsh</t>
        </is>
      </c>
      <c r="M14" s="6" t="n"/>
      <c r="N14" s="7" t="n"/>
      <c r="O14" s="88" t="n"/>
    </row>
    <row r="15" ht="78" customHeight="1">
      <c r="A15" s="8" t="inlineStr">
        <is>
          <t>B2</t>
        </is>
      </c>
      <c r="B15" s="8" t="inlineStr">
        <is>
          <t>WaterBridge / India Quotient / Huddle</t>
        </is>
      </c>
      <c r="C15" s="8" t="inlineStr">
        <is>
          <t>Seed fund</t>
        </is>
      </c>
      <c r="D15" s="8" t="inlineStr">
        <is>
          <t>$500K-1.5M</t>
        </is>
      </c>
      <c r="E15" s="8" t="inlineStr">
        <is>
          <t>Yes</t>
        </is>
      </c>
      <c r="F15" s="8" t="inlineStr">
        <is>
          <t>Medium</t>
        </is>
      </c>
      <c r="G15" s="89" t="inlineStr">
        <is>
          <t>Delhi/Bengaluru seed funds writing genuine first cheques with fintech in the book.</t>
        </is>
      </c>
      <c r="H15" s="89" t="inlineStr">
        <is>
          <t>Will want more traction than a first-cheque pre-seed implies.</t>
        </is>
      </c>
      <c r="I15" s="89" t="inlineStr">
        <is>
          <t>Warm intro preferred.</t>
        </is>
      </c>
      <c r="J15" s="8" t="inlineStr">
        <is>
          <t>P2</t>
        </is>
      </c>
      <c r="K15" s="6" t="inlineStr">
        <is>
          <t>Not started</t>
        </is>
      </c>
      <c r="L15" s="6" t="inlineStr">
        <is>
          <t>Harsh</t>
        </is>
      </c>
      <c r="M15" s="6" t="n"/>
      <c r="N15" s="7" t="n"/>
      <c r="O15" s="88" t="inlineStr">
        <is>
          <t>Second wave - approach after 2-3 Band 1/2 conversations sharpen the pitch.</t>
        </is>
      </c>
    </row>
    <row r="16" ht="78" customHeight="1">
      <c r="A16" s="8" t="inlineStr">
        <is>
          <t>B2</t>
        </is>
      </c>
      <c r="B16" s="8" t="inlineStr">
        <is>
          <t>AI-lane micro-VCs: Z21, Neon, Bold, Grayscale.vc, FortyTwo, Sense AI</t>
        </is>
      </c>
      <c r="C16" s="8" t="inlineStr">
        <is>
          <t>Micro-VC (AI)</t>
        </is>
      </c>
      <c r="D16" s="8" t="inlineStr">
        <is>
          <t>$250K-1M</t>
        </is>
      </c>
      <c r="E16" s="8" t="inlineStr">
        <is>
          <t>Sometimes</t>
        </is>
      </c>
      <c r="F16" s="8" t="inlineStr">
        <is>
          <t>Medium</t>
        </is>
      </c>
      <c r="G16" s="89" t="inlineStr">
        <is>
          <t>AI startups took $676M across 57 deals in H1 2026, +317% YoY - the defining sector story of this cycle. The grounded-retrieval-with-verification architecture is a real AI story, not a wrapper story, and these funds can evaluate it.</t>
        </is>
      </c>
      <c r="H16" s="89" t="inlineStr">
        <is>
          <t>Weak on Indian retail-fintech nuance. Lead with architecture (bounded evidence packs, verify-and-repair, published eval), not market size.</t>
        </is>
      </c>
      <c r="I16" s="89" t="inlineStr">
        <is>
          <t>Blume list; AI founder network.</t>
        </is>
      </c>
      <c r="J16" s="8" t="inlineStr">
        <is>
          <t>P2</t>
        </is>
      </c>
      <c r="K16" s="6" t="inlineStr">
        <is>
          <t>Not started</t>
        </is>
      </c>
      <c r="L16" s="6" t="inlineStr">
        <is>
          <t>Harsh</t>
        </is>
      </c>
      <c r="M16" s="6" t="n"/>
      <c r="N16" s="7" t="n"/>
      <c r="O16" s="88" t="n"/>
    </row>
    <row r="17" ht="78" customHeight="1">
      <c r="A17" s="8" t="inlineStr">
        <is>
          <t>B2</t>
        </is>
      </c>
      <c r="B17" s="8" t="inlineStr">
        <is>
          <t>LetsVenture / Mumbai Angels / IAN / AngelList India / Backrr</t>
        </is>
      </c>
      <c r="C17" s="8" t="inlineStr">
        <is>
          <t>Syndicate</t>
        </is>
      </c>
      <c r="D17" s="8" t="inlineStr">
        <is>
          <t>Rs 25L-2Cr</t>
        </is>
      </c>
      <c r="E17" s="8" t="inlineStr">
        <is>
          <t>Sometimes</t>
        </is>
      </c>
      <c r="F17" s="8" t="inlineStr">
        <is>
          <t>Medium</t>
        </is>
      </c>
      <c r="G17" s="89" t="inlineStr">
        <is>
          <t>Syndicate rails. Fast to FILL a round once a lead sets terms.</t>
        </is>
      </c>
      <c r="H17" s="89" t="inlineStr">
        <is>
          <t>Diligence-heavy, slow, platform fees, messy cap table if many small holders. Use to fill, never to lead.</t>
        </is>
      </c>
      <c r="I17" s="89" t="inlineStr">
        <is>
          <t>Platform application.</t>
        </is>
      </c>
      <c r="J17" s="8" t="inlineStr">
        <is>
          <t>P2</t>
        </is>
      </c>
      <c r="K17" s="6" t="inlineStr">
        <is>
          <t>Not started</t>
        </is>
      </c>
      <c r="L17" s="6" t="inlineStr">
        <is>
          <t>Harsh</t>
        </is>
      </c>
      <c r="M17" s="6" t="n"/>
      <c r="N17" s="7" t="n"/>
      <c r="O17" s="88" t="n"/>
    </row>
    <row r="18" ht="78" customHeight="1">
      <c r="A18" s="9" t="inlineStr">
        <is>
          <t>B3</t>
        </is>
      </c>
      <c r="B18" s="9" t="inlineStr">
        <is>
          <t>Rainmatter (Zerodha)</t>
        </is>
      </c>
      <c r="C18" s="9" t="inlineStr">
        <is>
          <t>Corporate/VC</t>
        </is>
      </c>
      <c r="D18" s="9" t="inlineStr">
        <is>
          <t>Rs 50L - Rs 100Cr</t>
        </is>
      </c>
      <c r="E18" s="9" t="inlineStr">
        <is>
          <t>Yes</t>
        </is>
      </c>
      <c r="F18" s="9" t="inlineStr">
        <is>
          <t>High (thesis) / Med (timing)</t>
        </is>
      </c>
      <c r="G18" s="90" t="inlineStr">
        <is>
          <t>Rs 1,500Cr+ across 160+ companies since 2016. No board seats, no operational interference, patient capital. Integration hook: Kite Connect exposes live account data to third-party software and Kite MCP extends it to AI agents - Anvest is built to sit exactly there.</t>
        </is>
      </c>
      <c r="H18" s="90" t="inlineStr">
        <is>
          <t>RECALIBRATED DOWN ON TIMING: portfolio is now most concentrated in climate (44) then health (41), fintech third (37) - and visible 2026 investments (Lissun, Arboreal, Immuneel, VoltSeal, Farm Watt) are climate/health, not fintech. They have not left fintech (participated in Wint Wealth $27M) but a first-cheque fintech bet is not where the marginal rupee goes today. PLUS the standing Tickertape conflict.</t>
        </is>
      </c>
      <c r="I18" s="90" t="inlineStr">
        <is>
          <t>rainmatter.com direct; portfolio-founder intro; Nithin responds to substantive public technical writing.</t>
        </is>
      </c>
      <c r="J18" s="9" t="inlineStr">
        <is>
          <t>P1</t>
        </is>
      </c>
      <c r="K18" s="6" t="inlineStr">
        <is>
          <t>Not started</t>
        </is>
      </c>
      <c r="L18" s="6" t="inlineStr">
        <is>
          <t>Harsh</t>
        </is>
      </c>
      <c r="M18" s="6" t="n"/>
      <c r="N18" s="7" t="n"/>
      <c r="O18" s="88" t="inlineStr">
        <is>
          <t>NO LONGER THE FIRST STOP. Run in parallel with Band 1, never let round timing depend on it. Use Anvest_Strategic_Integration_Deck.pptx + Template B.</t>
        </is>
      </c>
    </row>
    <row r="19" ht="78" customHeight="1">
      <c r="A19" s="9" t="inlineStr">
        <is>
          <t>B3</t>
        </is>
      </c>
      <c r="B19" s="9" t="inlineStr">
        <is>
          <t>Nithin / Nikhil Kamath</t>
        </is>
      </c>
      <c r="C19" s="9" t="inlineStr">
        <is>
          <t>Angel (Cat A)</t>
        </is>
      </c>
      <c r="D19" s="9" t="inlineStr">
        <is>
          <t>Rs 25L-1Cr</t>
        </is>
      </c>
      <c r="E19" s="9" t="inlineStr">
        <is>
          <t>No</t>
        </is>
      </c>
      <c r="F19" s="9" t="inlineStr">
        <is>
          <t>High</t>
        </is>
      </c>
      <c r="G19" s="90" t="inlineStr">
        <is>
          <t>Deepest domain understanding of this exact problem of anyone on the list.</t>
        </is>
      </c>
      <c r="H19" s="90" t="inlineStr">
        <is>
          <t>Tickertape conflict. Do NOT run as a separate uncoordinated thread from Rainmatter.</t>
        </is>
      </c>
      <c r="I19" s="90" t="inlineStr">
        <is>
          <t>Public technical writing (a data-corrections changelog or retrieval-eval writeup beats a cold pitch).</t>
        </is>
      </c>
      <c r="J19" s="9" t="inlineStr">
        <is>
          <t>P2</t>
        </is>
      </c>
      <c r="K19" s="6" t="inlineStr">
        <is>
          <t>Not started</t>
        </is>
      </c>
      <c r="L19" s="6" t="inlineStr">
        <is>
          <t>Harsh</t>
        </is>
      </c>
      <c r="M19" s="6" t="n"/>
      <c r="N19" s="7" t="n"/>
      <c r="O19" s="88" t="inlineStr">
        <is>
          <t>Coordinate as ONE effort with Rainmatter. Same deck, Template B.</t>
        </is>
      </c>
    </row>
    <row r="20" ht="78" customHeight="1">
      <c r="A20" s="9" t="inlineStr">
        <is>
          <t>B3</t>
        </is>
      </c>
      <c r="B20" s="9" t="inlineStr">
        <is>
          <t>Groww / Lalit Keshre</t>
        </is>
      </c>
      <c r="C20" s="9" t="inlineStr">
        <is>
          <t>Corp-dev / Angel</t>
        </is>
      </c>
      <c r="D20" s="9" t="inlineStr">
        <is>
          <t>Rs 25-50L</t>
        </is>
      </c>
      <c r="E20" s="9" t="inlineStr">
        <is>
          <t>No</t>
        </is>
      </c>
      <c r="F20" s="9" t="inlineStr">
        <is>
          <t>Low-med</t>
        </is>
      </c>
      <c r="G20" s="90" t="inlineStr">
        <is>
          <t>Built India's largest retail investing funnel; understands retail acquisition economics better than any VC will.</t>
        </is>
      </c>
      <c r="H20" s="90" t="inlineStr">
        <is>
          <t>Groww Ventures' disclosed history (Digio, Nimbbl, CoinCRED, Cybrilla) is opportunistic infra investing, not a thesis-driven fintech fund - AND Groww ships a competing in-app research surface. BD conversation, not a VC pitch.</t>
        </is>
      </c>
      <c r="I20" s="90" t="inlineStr">
        <is>
          <t>Warm intro.</t>
        </is>
      </c>
      <c r="J20" s="9" t="inlineStr">
        <is>
          <t>P3</t>
        </is>
      </c>
      <c r="K20" s="6" t="inlineStr">
        <is>
          <t>Not started</t>
        </is>
      </c>
      <c r="L20" s="6" t="inlineStr">
        <is>
          <t>Harsh</t>
        </is>
      </c>
      <c r="M20" s="6" t="n"/>
      <c r="N20" s="7" t="n"/>
      <c r="O20" s="88" t="inlineStr">
        <is>
          <t>Template C only. Hold the one-pager back until there is a live conversation.</t>
        </is>
      </c>
    </row>
    <row r="21" ht="78" customHeight="1">
      <c r="A21" s="9" t="inlineStr">
        <is>
          <t>B3</t>
        </is>
      </c>
      <c r="B21" s="9" t="inlineStr">
        <is>
          <t>Operator angels: Kunal Shah, Sanjay Swamy, Ramakant Sharma</t>
        </is>
      </c>
      <c r="C21" s="9" t="inlineStr">
        <is>
          <t>Angel (Cat A)</t>
        </is>
      </c>
      <c r="D21" s="9" t="inlineStr">
        <is>
          <t>Rs 25L-1Cr</t>
        </is>
      </c>
      <c r="E21" s="9" t="inlineStr">
        <is>
          <t>No</t>
        </is>
      </c>
      <c r="F21" s="9" t="inlineStr">
        <is>
          <t>Med-high</t>
        </is>
      </c>
      <c r="G21" s="90" t="inlineStr">
        <is>
          <t>Enormous signalling value on an Indian fintech cap table. Kunal Shah remains highly active in fintech.</t>
        </is>
      </c>
      <c r="H21" s="90" t="inlineStr">
        <is>
          <t>Very hard to reach cold; enormous inbound volume. Needs a strong warm intro or a public artifact that reaches them.</t>
        </is>
      </c>
      <c r="I21" s="90" t="inlineStr">
        <is>
          <t>Warm intro only, or widely-shared technical writing on Indian filings data quality.</t>
        </is>
      </c>
      <c r="J21" s="9" t="inlineStr">
        <is>
          <t>P2</t>
        </is>
      </c>
      <c r="K21" s="6" t="inlineStr">
        <is>
          <t>Not started</t>
        </is>
      </c>
      <c r="L21" s="6" t="inlineStr">
        <is>
          <t>Harsh</t>
        </is>
      </c>
      <c r="M21" s="6" t="n"/>
      <c r="N21" s="7" t="n"/>
      <c r="O21" s="88" t="n"/>
    </row>
    <row r="22" ht="78" customHeight="1">
      <c r="A22" s="91" t="inlineStr">
        <is>
          <t>B4</t>
        </is>
      </c>
      <c r="B22" s="91" t="inlineStr">
        <is>
          <t>Lightspeed India</t>
        </is>
      </c>
      <c r="C22" s="91" t="inlineStr">
        <is>
          <t>Institutional seed</t>
        </is>
      </c>
      <c r="D22" s="91" t="inlineStr">
        <is>
          <t>$1-20M</t>
        </is>
      </c>
      <c r="E22" s="91" t="inlineStr">
        <is>
          <t>Yes</t>
        </is>
      </c>
      <c r="F22" s="91" t="inlineStr">
        <is>
          <t>High (later)</t>
        </is>
      </c>
      <c r="G22" s="92" t="inlineStr">
        <is>
          <t>Led Centricity's $20M wealthtech seed at $125M - direct evidence they deploy into this exact category. Top-2 India fintech investor by deal count.</t>
        </is>
      </c>
      <c r="H22" s="92" t="inlineStr">
        <is>
          <t>NOT NOW. Wants 10K+ MAU or real revenue. Meeting at 60 users burns the intro.</t>
        </is>
      </c>
      <c r="I22" s="92" t="inlineStr">
        <is>
          <t>Relationship only: 'not raising, want your view in 6 months'.</t>
        </is>
      </c>
      <c r="J22" s="91" t="inlineStr">
        <is>
          <t>P2 (relationship)</t>
        </is>
      </c>
      <c r="K22" s="6" t="inlineStr">
        <is>
          <t>Not started</t>
        </is>
      </c>
      <c r="L22" s="6" t="inlineStr">
        <is>
          <t>Harsh</t>
        </is>
      </c>
      <c r="M22" s="6" t="n"/>
      <c r="N22" s="7" t="n"/>
      <c r="O22" s="88" t="n"/>
    </row>
    <row r="23" ht="78" customHeight="1">
      <c r="A23" s="91" t="inlineStr">
        <is>
          <t>B4</t>
        </is>
      </c>
      <c r="B23" s="91" t="inlineStr">
        <is>
          <t>Accel India</t>
        </is>
      </c>
      <c r="C23" s="91" t="inlineStr">
        <is>
          <t>Institutional seed</t>
        </is>
      </c>
      <c r="D23" s="91" t="inlineStr">
        <is>
          <t>$1-15M</t>
        </is>
      </c>
      <c r="E23" s="91" t="inlineStr">
        <is>
          <t>Yes</t>
        </is>
      </c>
      <c r="F23" s="91" t="inlineStr">
        <is>
          <t>High (later)</t>
        </is>
      </c>
      <c r="G23" s="92" t="inlineStr">
        <is>
          <t>Top India fintech investor by deal count. Accel Atoms is the one earlier-stage exception worth checking.</t>
        </is>
      </c>
      <c r="H23" s="92" t="inlineStr">
        <is>
          <t>NOT NOW, same as Lightspeed. Check Atoms cohort timing separately.</t>
        </is>
      </c>
      <c r="I23" s="92" t="inlineStr">
        <is>
          <t>Relationship-building; Atoms application if a cohort opens.</t>
        </is>
      </c>
      <c r="J23" s="91" t="inlineStr">
        <is>
          <t>P2 (relationship)</t>
        </is>
      </c>
      <c r="K23" s="6" t="inlineStr">
        <is>
          <t>Not started</t>
        </is>
      </c>
      <c r="L23" s="6" t="inlineStr">
        <is>
          <t>Harsh</t>
        </is>
      </c>
      <c r="M23" s="6" t="n"/>
      <c r="N23" s="7" t="n"/>
      <c r="O23" s="88" t="n"/>
    </row>
    <row r="24" ht="78" customHeight="1">
      <c r="A24" s="91" t="inlineStr">
        <is>
          <t>B4</t>
        </is>
      </c>
      <c r="B24" s="91" t="inlineStr">
        <is>
          <t>Bertelsmann India Investments</t>
        </is>
      </c>
      <c r="C24" s="91" t="inlineStr">
        <is>
          <t>Institutional</t>
        </is>
      </c>
      <c r="D24" s="91" t="inlineStr">
        <is>
          <t>$2-10M</t>
        </is>
      </c>
      <c r="E24" s="91" t="inlineStr">
        <is>
          <t>Yes</t>
        </is>
      </c>
      <c r="F24" s="91" t="inlineStr">
        <is>
          <t>High (later)</t>
        </is>
      </c>
      <c r="G24" s="92" t="inlineStr">
        <is>
          <t>Backed Univest ($12.4M across 5 rounds) - closest thesis match on the register, and for the LESS defensible black-box-tips version of this idea. Strongest "they already believe this thesis" argument available.</t>
        </is>
      </c>
      <c r="H24" s="92" t="inlineStr">
        <is>
          <t>NOT NOW - Series A stage. But the single best fund to build an 18-month relationship with.</t>
        </is>
      </c>
      <c r="I24" s="92" t="inlineStr">
        <is>
          <t>Relationship-building; reference the Univest thesis explicitly.</t>
        </is>
      </c>
      <c r="J24" s="91" t="inlineStr">
        <is>
          <t>P2 (relationship)</t>
        </is>
      </c>
      <c r="K24" s="6" t="inlineStr">
        <is>
          <t>Not started</t>
        </is>
      </c>
      <c r="L24" s="6" t="inlineStr">
        <is>
          <t>Harsh</t>
        </is>
      </c>
      <c r="M24" s="6" t="n"/>
      <c r="N24" s="7" t="n"/>
      <c r="O24" s="88" t="n"/>
    </row>
    <row r="25" ht="78" customHeight="1">
      <c r="A25" s="91" t="inlineStr">
        <is>
          <t>B4</t>
        </is>
      </c>
      <c r="B25" s="91" t="inlineStr">
        <is>
          <t>Vertex Ventures SEA &amp; India</t>
        </is>
      </c>
      <c r="C25" s="91" t="inlineStr">
        <is>
          <t>Institutional seed</t>
        </is>
      </c>
      <c r="D25" s="91" t="inlineStr">
        <is>
          <t>$2-30M</t>
        </is>
      </c>
      <c r="E25" s="91" t="inlineStr">
        <is>
          <t>Yes</t>
        </is>
      </c>
      <c r="F25" s="91" t="inlineStr">
        <is>
          <t>Med (later)</t>
        </is>
      </c>
      <c r="G25" s="92" t="inlineStr">
        <is>
          <t>Led Wint Wealth's $27M (2026) with Eight Roads, 3one4, Arkam and Rainmatter participating. Active and current in Indian wealthtech.</t>
        </is>
      </c>
      <c r="H25" s="92" t="inlineStr">
        <is>
          <t>NOT NOW - stage mismatch.</t>
        </is>
      </c>
      <c r="I25" s="92" t="inlineStr">
        <is>
          <t>Relationship-building.</t>
        </is>
      </c>
      <c r="J25" s="91" t="inlineStr">
        <is>
          <t>P3 (relationship)</t>
        </is>
      </c>
      <c r="K25" s="6" t="inlineStr">
        <is>
          <t>Not started</t>
        </is>
      </c>
      <c r="L25" s="6" t="inlineStr">
        <is>
          <t>Harsh</t>
        </is>
      </c>
      <c r="M25" s="6" t="n"/>
      <c r="N25" s="7" t="n"/>
      <c r="O25" s="88" t="inlineStr">
        <is>
          <t>Added Sept 2026 from H1-2026 wealthtech deal flow.</t>
        </is>
      </c>
    </row>
    <row r="26" ht="78" customHeight="1">
      <c r="A26" s="91" t="inlineStr">
        <is>
          <t>B4</t>
        </is>
      </c>
      <c r="B26" s="91" t="inlineStr">
        <is>
          <t>Peak XV/Surge, Elevation, Z47, Prime Venture, Blume, Arkam, 3one4</t>
        </is>
      </c>
      <c r="C26" s="91" t="inlineStr">
        <is>
          <t>Institutional seed</t>
        </is>
      </c>
      <c r="D26" s="91" t="inlineStr">
        <is>
          <t>$1-5M</t>
        </is>
      </c>
      <c r="E26" s="91" t="inlineStr">
        <is>
          <t>Yes</t>
        </is>
      </c>
      <c r="F26" s="91" t="inlineStr">
        <is>
          <t>Med (later)</t>
        </is>
      </c>
      <c r="G26" s="92" t="inlineStr">
        <is>
          <t>Core India seed tier. Blume separately runs the Blume Founders Fund for pre-seed and publishes the validated micro-VC list to source from.</t>
        </is>
      </c>
      <c r="H26" s="92" t="inlineStr">
        <is>
          <t>NOT NOW. Surge typically wants a team, not a solo founder.</t>
        </is>
      </c>
      <c r="I26" s="92" t="inlineStr">
        <is>
          <t>Relationship; check Blume Founders Fund eligibility.</t>
        </is>
      </c>
      <c r="J26" s="91" t="inlineStr">
        <is>
          <t>P3 (relationship)</t>
        </is>
      </c>
      <c r="K26" s="6" t="inlineStr">
        <is>
          <t>Not started</t>
        </is>
      </c>
      <c r="L26" s="6" t="inlineStr">
        <is>
          <t>Harsh</t>
        </is>
      </c>
      <c r="M26" s="6" t="n"/>
      <c r="N26" s="7" t="n"/>
      <c r="O26" s="88" t="n"/>
    </row>
    <row r="27" ht="78" customHeight="1">
      <c r="A27" s="10" t="inlineStr">
        <is>
          <t>Acc</t>
        </is>
      </c>
      <c r="B27" s="10" t="inlineStr">
        <is>
          <t>Y Combinator - Winter 2027</t>
        </is>
      </c>
      <c r="C27" s="10" t="inlineStr">
        <is>
          <t>Accelerator</t>
        </is>
      </c>
      <c r="D27" s="10" t="inlineStr">
        <is>
          <t>$125K/7% + $375K MFN</t>
        </is>
      </c>
      <c r="E27" s="10" t="inlineStr">
        <is>
          <t>n/a</t>
        </is>
      </c>
      <c r="F27" s="10" t="inlineStr">
        <is>
          <t>Medium</t>
        </is>
      </c>
      <c r="G27" s="93" t="inlineStr">
        <is>
          <t>Reapplication is normal and explicitly welcomed - the form asks what changed since last time, and that question IS the application. "60 users and no revenue in August, N paying customers and X% retention in November" is a genuinely different company.</t>
        </is>
      </c>
      <c r="H27" s="93" t="inlineStr">
        <is>
          <t>CONDITIONAL: apply ONLY if there is revenue or a real retention curve by 2 Nov. A second rejection on unchanged facts burns the "what changed" question for the next cycle too.</t>
        </is>
      </c>
      <c r="I27" s="93" t="inlineStr">
        <is>
          <t>ycombinator.com/apply - answer bank already written in YC_APPLICATION_FALL2026.md.</t>
        </is>
      </c>
      <c r="J27" s="10" t="inlineStr">
        <is>
          <t>P1</t>
        </is>
      </c>
      <c r="K27" s="6" t="inlineStr">
        <is>
          <t>Not started</t>
        </is>
      </c>
      <c r="L27" s="6" t="inlineStr">
        <is>
          <t>Harsh</t>
        </is>
      </c>
      <c r="M27" s="6" t="n"/>
      <c r="N27" s="7" t="n"/>
      <c r="O27" s="88" t="inlineStr">
        <is>
          <t>DEADLINE 2 NOV 2026, 8PM PT. Decisions 11 Dec. Batch Jan-Mar 2027 in SF. ~4 hours of work given the existing answer bank.</t>
        </is>
      </c>
    </row>
    <row r="28" ht="78" customHeight="1">
      <c r="A28" s="10" t="inlineStr">
        <is>
          <t>Acc</t>
        </is>
      </c>
      <c r="B28" s="10" t="inlineStr">
        <is>
          <t>100X.VC</t>
        </is>
      </c>
      <c r="C28" s="10" t="inlineStr">
        <is>
          <t>Accelerator / pre-seed fund</t>
        </is>
      </c>
      <c r="D28" s="10" t="inlineStr">
        <is>
          <t>Rs 1.25Cr for 15% (iSAFE)</t>
        </is>
      </c>
      <c r="E28" s="10" t="inlineStr">
        <is>
          <t>Yes</t>
        </is>
      </c>
      <c r="F28" s="10" t="inlineStr">
        <is>
          <t>Medium</t>
        </is>
      </c>
      <c r="G28" s="93" t="inlineStr">
        <is>
          <t>Mumbai. Two classes a year, 17-18 startups per batch, responds in 7-10 working days, interview in Mumbai. 200 portfolio companies. India-first and genuinely pre-seed.</t>
        </is>
      </c>
      <c r="H28" s="93" t="inlineStr">
        <is>
          <t>TERMS ARE THE PROBLEM: Rs 1.25Cr for 15% implies ~Rs 8.3Cr (~$870K) post-money - far below the $3.5M cap. Accepting effectively reprices the round. Also ~1,900+ applicants per batch for 17-18 places.</t>
        </is>
      </c>
      <c r="I28" s="93" t="inlineStr">
        <is>
          <t>Direct application.</t>
        </is>
      </c>
      <c r="J28" s="10" t="inlineStr">
        <is>
          <t>P3</t>
        </is>
      </c>
      <c r="K28" s="6" t="inlineStr">
        <is>
          <t>Not started</t>
        </is>
      </c>
      <c r="L28" s="6" t="inlineStr">
        <is>
          <t>Harsh</t>
        </is>
      </c>
      <c r="M28" s="6" t="n"/>
      <c r="N28" s="7" t="n"/>
      <c r="O28" s="88" t="inlineStr">
        <is>
          <t>FALLBACK ONLY if Bands 1-2 stall. Do NOT run in parallel with Band 1-2 conversations - it undercuts your own cap.</t>
        </is>
      </c>
    </row>
    <row r="29" ht="78" customHeight="1">
      <c r="A29" s="10" t="inlineStr">
        <is>
          <t>Acc</t>
        </is>
      </c>
      <c r="B29" s="10" t="inlineStr">
        <is>
          <t>Axilor Ventures</t>
        </is>
      </c>
      <c r="C29" s="10" t="inlineStr">
        <is>
          <t>Accelerator</t>
        </is>
      </c>
      <c r="D29" s="10" t="inlineStr">
        <is>
          <t>Rs 20L + 100-day programme</t>
        </is>
      </c>
      <c r="E29" s="10" t="inlineStr">
        <is>
          <t>No</t>
        </is>
      </c>
      <c r="F29" s="10" t="inlineStr">
        <is>
          <t>Low-med</t>
        </is>
      </c>
      <c r="G29" s="93" t="inlineStr">
        <is>
          <t>Founded by Infosys figures. Covers fintech. Useful network, small cheque, small enough not to disturb the main round price.</t>
        </is>
      </c>
      <c r="H29" s="93" t="inlineStr">
        <is>
          <t>Small cheque; programme time cost.</t>
        </is>
      </c>
      <c r="I29" s="93" t="inlineStr">
        <is>
          <t>Rolling cohort application.</t>
        </is>
      </c>
      <c r="J29" s="10" t="inlineStr">
        <is>
          <t>P3</t>
        </is>
      </c>
      <c r="K29" s="6" t="inlineStr">
        <is>
          <t>Not started</t>
        </is>
      </c>
      <c r="L29" s="6" t="inlineStr">
        <is>
          <t>Harsh</t>
        </is>
      </c>
      <c r="M29" s="6" t="n"/>
      <c r="N29" s="7" t="n"/>
      <c r="O29" s="88" t="inlineStr">
        <is>
          <t>Optional.</t>
        </is>
      </c>
    </row>
    <row r="30" ht="78" customHeight="1">
      <c r="A30" s="94" t="inlineStr">
        <is>
          <t>SKIP</t>
        </is>
      </c>
      <c r="B30" s="94" t="inlineStr">
        <is>
          <t>Fundamentum Partnership</t>
        </is>
      </c>
      <c r="C30" s="94" t="inlineStr">
        <is>
          <t>Growth VC</t>
        </is>
      </c>
      <c r="D30" s="94" t="inlineStr">
        <is>
          <t>Rs ~100Cr initial</t>
        </is>
      </c>
      <c r="E30" s="94" t="inlineStr">
        <is>
          <t>Yes</t>
        </is>
      </c>
      <c r="F30" s="94" t="inlineStr">
        <is>
          <t>None (stage mismatch)</t>
        </is>
      </c>
      <c r="G30" s="95" t="inlineStr">
        <is>
          <t>Appears at the top of Q1-2026 India-fintech SEED league tables, which is misleading.</t>
        </is>
      </c>
      <c r="H30" s="95" t="inlineStr">
        <is>
          <t>NOT A TARGET. Invests at Series B/C; Fund III writes initial cheques of ~Rs 100Cr (~$10.5M). Approaching now wastes the introduction.</t>
        </is>
      </c>
      <c r="I30" s="95" t="inlineStr">
        <is>
          <t>-</t>
        </is>
      </c>
      <c r="J30" s="94" t="inlineStr">
        <is>
          <t>SKIP</t>
        </is>
      </c>
      <c r="K30" s="6" t="inlineStr">
        <is>
          <t>Not started</t>
        </is>
      </c>
      <c r="L30" s="6" t="inlineStr">
        <is>
          <t>Harsh</t>
        </is>
      </c>
      <c r="M30" s="6" t="n"/>
      <c r="N30" s="7" t="n"/>
      <c r="O30" s="88" t="inlineStr">
        <is>
          <t>Listed explicitly so this gets checked off the list once, not re-researched every cycle.</t>
        </is>
      </c>
    </row>
    <row r="31" ht="78" customHeight="1">
      <c r="A31" s="94" t="inlineStr">
        <is>
          <t>SKIP</t>
        </is>
      </c>
      <c r="B31" s="94" t="inlineStr">
        <is>
          <t>Antler India</t>
        </is>
      </c>
      <c r="C31" s="94" t="inlineStr">
        <is>
          <t>Day-zero fund</t>
        </is>
      </c>
      <c r="D31" s="94" t="inlineStr">
        <is>
          <t>$100-300K</t>
        </is>
      </c>
      <c r="E31" s="94" t="inlineStr">
        <is>
          <t>Yes</t>
        </is>
      </c>
      <c r="F31" s="94" t="inlineStr">
        <is>
          <t>Low</t>
        </is>
      </c>
      <c r="G31" s="95" t="inlineStr">
        <is>
          <t>Pre-formation residency and co-founder matching.</t>
        </is>
      </c>
      <c r="H31" s="95" t="inlineStr">
        <is>
          <t>SKIP. Residency + co-founder matching is most of the value proposition and neither applies - there is a built product and no co-founder search. Large equity chunk for the stage.</t>
        </is>
      </c>
      <c r="I31" s="95" t="inlineStr">
        <is>
          <t>Direct application.</t>
        </is>
      </c>
      <c r="J31" s="94" t="inlineStr">
        <is>
          <t>SKIP</t>
        </is>
      </c>
      <c r="K31" s="6" t="inlineStr">
        <is>
          <t>Not started</t>
        </is>
      </c>
      <c r="L31" s="6" t="inlineStr">
        <is>
          <t>Harsh</t>
        </is>
      </c>
      <c r="M31" s="6" t="n"/>
      <c r="N31" s="7" t="n"/>
      <c r="O31" s="88" t="inlineStr">
        <is>
          <t>Revisit only if the round stalls completely.</t>
        </is>
      </c>
    </row>
    <row r="32" ht="62" customHeight="1">
      <c r="A32" s="9" t="n"/>
      <c r="B32" s="9" t="n"/>
      <c r="C32" s="9" t="n"/>
      <c r="D32" s="9" t="n"/>
      <c r="E32" s="9" t="n"/>
      <c r="F32" s="9" t="n"/>
      <c r="G32" s="9" t="n"/>
      <c r="H32" s="9" t="n"/>
      <c r="I32" s="9" t="n"/>
      <c r="J32" s="9" t="n"/>
      <c r="K32" s="6" t="n"/>
      <c r="L32" s="6" t="n"/>
      <c r="M32" s="6" t="n"/>
      <c r="N32" s="7" t="n"/>
      <c r="O32" s="6" t="n"/>
    </row>
    <row r="33" ht="62" customHeight="1">
      <c r="A33" s="96" t="inlineStr">
        <is>
          <t>LEGEND</t>
        </is>
      </c>
      <c r="B33" s="9" t="n"/>
      <c r="C33" s="9" t="n"/>
      <c r="D33" s="9" t="n"/>
      <c r="E33" s="9" t="n"/>
      <c r="F33" s="9" t="n"/>
      <c r="G33" s="9" t="n"/>
      <c r="H33" s="9" t="n"/>
      <c r="I33" s="9" t="n"/>
      <c r="J33" s="9" t="n"/>
      <c r="K33" s="6" t="n"/>
      <c r="L33" s="6" t="n"/>
      <c r="M33" s="6" t="n"/>
      <c r="N33" s="7" t="n"/>
      <c r="O33" s="6" t="n"/>
    </row>
    <row r="34" ht="30" customHeight="1">
      <c r="A34" s="59" t="inlineStr">
        <is>
          <t>BAND 1 (green)</t>
        </is>
      </c>
      <c r="B34" s="90" t="inlineStr">
        <is>
          <t>Start here. Highest probability, fastest, useful beyond the cheque. The RA/PMS angels ARE the B2B customer list - working it produces revenue whether or not it produces a cheque.</t>
        </is>
      </c>
      <c r="C34" s="97" t="n"/>
      <c r="D34" s="97" t="n"/>
      <c r="E34" s="97" t="n"/>
      <c r="F34" s="97" t="n"/>
      <c r="G34" s="97" t="n"/>
      <c r="H34" s="97" t="n"/>
      <c r="I34" s="98" t="n"/>
      <c r="J34" s="9" t="n"/>
      <c r="K34" s="6" t="n"/>
      <c r="L34" s="6" t="n"/>
      <c r="M34" s="6" t="n"/>
      <c r="N34" s="7" t="n"/>
      <c r="O34" s="6" t="n"/>
    </row>
    <row r="35" ht="30" customHeight="1">
      <c r="A35" s="59" t="inlineStr">
        <is>
          <t>BAND 2 (yellow)</t>
        </is>
      </c>
      <c r="B35" s="90" t="inlineStr">
        <is>
          <t>Institutional pre-seed. Real 4-10 week process, any one can lead the $400K base. Sub-$40M funds lead $500-800K for 8-12% by convention - at a $3.5M cap you are offering better than that.</t>
        </is>
      </c>
      <c r="C35" s="97" t="n"/>
      <c r="D35" s="97" t="n"/>
      <c r="E35" s="97" t="n"/>
      <c r="F35" s="97" t="n"/>
      <c r="G35" s="97" t="n"/>
      <c r="H35" s="97" t="n"/>
      <c r="I35" s="98" t="n"/>
      <c r="J35" s="9" t="n"/>
      <c r="K35" s="6" t="n"/>
      <c r="L35" s="6" t="n"/>
      <c r="M35" s="6" t="n"/>
      <c r="N35" s="7" t="n"/>
      <c r="O35" s="6" t="n"/>
    </row>
    <row r="36" ht="30" customHeight="1">
      <c r="A36" s="59" t="inlineStr">
        <is>
          <t>BAND 3 (blue)</t>
        </is>
      </c>
      <c r="B36" s="90" t="inlineStr">
        <is>
          <t>Strategics + hard-to-reach operator angels. Different narrative (Anvest_Strategic_Integration_Deck.pptx), same terms, slower clock. Run in parallel; never let the round depend on them.</t>
        </is>
      </c>
      <c r="C36" s="97" t="n"/>
      <c r="D36" s="97" t="n"/>
      <c r="E36" s="97" t="n"/>
      <c r="F36" s="97" t="n"/>
      <c r="G36" s="97" t="n"/>
      <c r="H36" s="97" t="n"/>
      <c r="I36" s="98" t="n"/>
      <c r="J36" s="9" t="n"/>
      <c r="K36" s="6" t="n"/>
      <c r="L36" s="6" t="n"/>
      <c r="M36" s="6" t="n"/>
      <c r="N36" s="7" t="n"/>
      <c r="O36" s="6" t="n"/>
    </row>
    <row r="37" ht="30" customHeight="1">
      <c r="A37" s="44" t="inlineStr">
        <is>
          <t>BAND 4 (grey)</t>
        </is>
      </c>
      <c r="B37" s="93" t="inlineStr">
        <is>
          <t>NOT NOW. Institutional seed = next round. Meet for relationship only, explicitly framed as "not raising". H1-2026 India fintech took $2.2B+ but average wealthtech deal was $31.2M - concentrated in companies with metrics.</t>
        </is>
      </c>
      <c r="C37" s="97" t="n"/>
      <c r="D37" s="97" t="n"/>
      <c r="E37" s="97" t="n"/>
      <c r="F37" s="97" t="n"/>
      <c r="G37" s="97" t="n"/>
      <c r="H37" s="97" t="n"/>
      <c r="I37" s="98" t="n"/>
      <c r="J37" s="10" t="n"/>
      <c r="K37" s="6" t="n"/>
      <c r="L37" s="6" t="n"/>
      <c r="M37" s="6" t="n"/>
      <c r="N37" s="7" t="n"/>
      <c r="O37" s="6" t="n"/>
    </row>
    <row r="38" ht="30" customHeight="1">
      <c r="A38" s="44" t="inlineStr">
        <is>
          <t>ACCELERATOR (orange)</t>
        </is>
      </c>
      <c r="B38" s="93" t="inlineStr">
        <is>
          <t>YC W2027 deadline 2 Nov 2026, 8pm PT (conditional on revenue). 100X.VC is a fallback that reprices the round. Axilor optional.</t>
        </is>
      </c>
      <c r="C38" s="97" t="n"/>
      <c r="D38" s="97" t="n"/>
      <c r="E38" s="97" t="n"/>
      <c r="F38" s="97" t="n"/>
      <c r="G38" s="97" t="n"/>
      <c r="H38" s="97" t="n"/>
      <c r="I38" s="98" t="n"/>
      <c r="J38" s="10" t="n"/>
      <c r="K38" s="6" t="n"/>
      <c r="L38" s="6" t="n"/>
      <c r="M38" s="6" t="n"/>
      <c r="N38" s="7" t="n"/>
      <c r="O38" s="6" t="n"/>
    </row>
    <row r="39" ht="30" customHeight="1">
      <c r="A39" s="44" t="inlineStr">
        <is>
          <t>SKIP (red)</t>
        </is>
      </c>
      <c r="B39" s="93" t="inlineStr">
        <is>
          <t>Explicitly NOT targets, with the reason recorded so they do not get re-researched every cycle.</t>
        </is>
      </c>
      <c r="C39" s="97" t="n"/>
      <c r="D39" s="97" t="n"/>
      <c r="E39" s="97" t="n"/>
      <c r="F39" s="97" t="n"/>
      <c r="G39" s="97" t="n"/>
      <c r="H39" s="97" t="n"/>
      <c r="I39" s="98" t="n"/>
      <c r="J39" s="10" t="n"/>
      <c r="K39" s="6" t="n"/>
      <c r="L39" s="6" t="n"/>
      <c r="M39" s="6" t="n"/>
      <c r="N39" s="7" t="n"/>
      <c r="O39" s="6" t="n"/>
    </row>
    <row r="40" ht="30" customHeight="1">
      <c r="A40" s="12" t="inlineStr">
        <is>
          <t>THE TWO THINGS THAT MOVE EVERY PROBABILITY HERE</t>
        </is>
      </c>
      <c r="B40" s="99" t="inlineStr">
        <is>
          <t>1) Are you full-time, with a nameable date? Several of these funds treat it as a hard filter. 2) First revenue: ~20 paid seats (~Rs 60K MRR) moves this from "pre-revenue research app" to "early-revenue B2B data company" and earns back the $5.0M cap.</t>
        </is>
      </c>
    </row>
    <row r="41" ht="30" customHeight="1">
      <c r="A41" s="12" t="inlineStr">
        <is>
          <t>SOURCE OF TRUTH FOR FUNDS</t>
        </is>
      </c>
      <c r="B41" s="99" t="inlineStr">
        <is>
          <t>Blume's validated list of ~200 sub-$100M India funds (published Apr 2026): blume.vc/commentaries/indias-micro-vc-landscape-whos-writing-the-first-cheque-in-2026</t>
        </is>
      </c>
    </row>
    <row r="42" ht="30" customHeight="1">
      <c r="A42" s="12" t="n"/>
      <c r="B42" s="13" t="n"/>
    </row>
    <row r="43" ht="30" customHeight="1">
      <c r="A43" s="12" t="n"/>
      <c r="B43" s="13" t="n"/>
    </row>
    <row r="44" ht="30" customHeight="1">
      <c r="A44" s="12" t="n"/>
      <c r="B44" s="13" t="n"/>
    </row>
    <row r="45" ht="30" customHeight="1">
      <c r="A45" s="12" t="n"/>
      <c r="B45" s="13" t="n"/>
    </row>
    <row r="46" ht="30" customHeight="1">
      <c r="A46" s="12" t="n"/>
      <c r="B46" s="13" t="n"/>
    </row>
    <row r="47" ht="30" customHeight="1">
      <c r="A47" s="12" t="n"/>
      <c r="B47" s="13" t="n"/>
    </row>
    <row r="48" ht="30" customHeight="1">
      <c r="A48" s="12" t="n"/>
      <c r="B48" s="13" t="n"/>
    </row>
  </sheetData>
  <mergeCells count="8">
    <mergeCell ref="B39:I39"/>
    <mergeCell ref="B38:I38"/>
    <mergeCell ref="B34:I34"/>
    <mergeCell ref="B36:I36"/>
    <mergeCell ref="B37:I37"/>
    <mergeCell ref="B41:I41"/>
    <mergeCell ref="B35:I35"/>
    <mergeCell ref="B40:I40"/>
  </mergeCells>
  <dataValidations count="2">
    <dataValidation sqref="K6:K39" showDropDown="0" showInputMessage="0" showErrorMessage="0" allowBlank="1" type="list">
      <formula1>"Not started,Researching,Intro requested,Intro made,Email sent,Meeting 1 done,Meeting 2 done,Diligence,Term sheet,Committed,Passed,On hold"</formula1>
    </dataValidation>
    <dataValidation sqref="J6:J39" showDropDown="0" showInputMessage="0" showErrorMessage="0" allowBlank="1" type="list">
      <formula1>"P0 - TONIGHT,P0,P1,P2,P2 (relationship),P3"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4" customWidth="1" min="5" max="5"/>
    <col width="40" customWidth="1" min="6" max="6"/>
  </cols>
  <sheetData>
    <row r="1">
      <c r="A1" s="1" t="inlineStr">
        <is>
          <t>Round Model - REVISED 2026-09-03 (post-YC-rejection reprice).  Rate: Rs 95.69/USD, 30 Aug 2026</t>
        </is>
      </c>
    </row>
    <row r="2">
      <c r="A2" s="2" t="inlineStr">
        <is>
          <t>Blue = input you can change. Black = formula. Yellow = key assumption to pressure-test.</t>
        </is>
      </c>
    </row>
    <row r="4">
      <c r="A4" s="14" t="inlineStr">
        <is>
          <t>ROUND TERMS</t>
        </is>
      </c>
      <c r="B4" s="15" t="n"/>
      <c r="C4" s="15" t="n"/>
      <c r="D4" s="15" t="n"/>
      <c r="E4" s="15" t="n"/>
      <c r="F4" s="15" t="n"/>
    </row>
    <row r="5">
      <c r="A5" s="13" t="inlineStr">
        <is>
          <t>Raise amount (USD)</t>
        </is>
      </c>
      <c r="B5" s="75" t="n">
        <v>400000</v>
      </c>
      <c r="F5" s="17" t="inlineStr">
        <is>
          <t>Rs 3.83 Cr at 30 Aug 2026 rate. Base case - room to $700K (Rs 6.70 Cr) at the same $3.5M cap if demand supports it.</t>
        </is>
      </c>
    </row>
    <row r="6">
      <c r="A6" s="13" t="inlineStr">
        <is>
          <t>Post-money cap (USD) - fixed for every investor</t>
        </is>
      </c>
      <c r="B6" s="75" t="n">
        <v>3500000</v>
      </c>
      <c r="F6" s="17" t="inlineStr">
        <is>
          <t>Rs 33.5 Cr post-money. REPRICED FROM $5.0M on 2026-09-03: the YC application (rejected) and the "empty category" claim (Screener shipped AI over filings) were two of the three legs holding up $5.0M. Comparables settle it - Trendlyne raised $2.64M TOTAL across 5 rounds; Tickertape $5M seed. See FUNDING_PLAN.md 7.1.</t>
        </is>
      </c>
    </row>
    <row r="7">
      <c r="A7" s="13" t="inlineStr">
        <is>
          <t>Post-money valuation (USD) = the cap</t>
        </is>
      </c>
      <c r="B7" s="18">
        <f>B6</f>
        <v/>
      </c>
      <c r="F7" s="17" t="inlineStr">
        <is>
          <t>Equals the post-money cap directly - a post-money-capped SAFE/CCD cap already IS the post-money valuation; the raise is not added on top.</t>
        </is>
      </c>
    </row>
    <row r="8">
      <c r="A8" s="13" t="inlineStr">
        <is>
          <t>New-investor dilution</t>
        </is>
      </c>
      <c r="B8" s="19">
        <f>B5/B7</f>
        <v/>
      </c>
      <c r="F8" s="17" t="inlineStr">
        <is>
          <t>Target 10-15% at India pre-seed. 11.4% at the base, up to 20% if upsized to $700K.</t>
        </is>
      </c>
    </row>
    <row r="9">
      <c r="A9" s="13" t="inlineStr">
        <is>
          <t>Founder ownership after round</t>
        </is>
      </c>
      <c r="B9" s="19">
        <f>1-B8</f>
        <v/>
      </c>
    </row>
    <row r="10">
      <c r="A10" s="13" t="inlineStr">
        <is>
          <t>Instrument</t>
        </is>
      </c>
      <c r="B10" s="20" t="inlineStr">
        <is>
          <t>Capped convertible (CCD/CCPS)</t>
        </is>
      </c>
      <c r="F10" s="17" t="inlineStr">
        <is>
          <t>Not a priced round. At zero traction a priced round means a valuation fight you cannot win, plus Rs 3-5L legal. Convertible defers it to the seed where metrics argue for you.</t>
        </is>
      </c>
    </row>
    <row r="11">
      <c r="A11" s="13" t="inlineStr">
        <is>
          <t>Runway (months)</t>
        </is>
      </c>
      <c r="B11" s="21" t="n">
        <v>18</v>
      </c>
    </row>
    <row r="12">
      <c r="A12" s="13" t="inlineStr">
        <is>
          <t>Implied monthly burn (Rs)</t>
        </is>
      </c>
      <c r="B12" s="18">
        <f>B5/B11</f>
        <v/>
      </c>
    </row>
    <row r="13">
      <c r="A13" s="13" t="inlineStr">
        <is>
          <t>Rs equivalent of raise</t>
        </is>
      </c>
      <c r="B13" s="76">
        <f>B5*B14/10000000</f>
        <v/>
      </c>
      <c r="F13" s="17" t="inlineStr">
        <is>
          <t>Directional only.</t>
        </is>
      </c>
    </row>
    <row r="14">
      <c r="A14" s="13" t="inlineStr">
        <is>
          <t>INR/USD rate assumed</t>
        </is>
      </c>
      <c r="B14" s="22" t="n">
        <v>95.69</v>
      </c>
      <c r="F14" s="17" t="inlineStr">
        <is>
          <t>INR/USD, 30 Aug 2026 (SUBSCRIPTION_MODEL uses this rate; FUNDING_PLAN previously used 96.57 from 26 Jul). CHECK THE LIVE RATE before quoting anything.</t>
        </is>
      </c>
    </row>
    <row r="15">
      <c r="A15" t="inlineStr">
        <is>
          <t>USE OF FUNDS - $400K over 15-18 months</t>
        </is>
      </c>
    </row>
    <row r="16">
      <c r="A16" s="14" t="inlineStr">
        <is>
          <t>USE OF FUNDS — $500K over 18 months (~$28K/month)</t>
        </is>
      </c>
      <c r="B16" s="15" t="n"/>
      <c r="C16" s="15" t="n"/>
      <c r="D16" s="15" t="n"/>
      <c r="E16" s="15" t="n"/>
      <c r="F16" s="15" t="n"/>
    </row>
    <row r="17">
      <c r="A17" s="23" t="inlineStr">
        <is>
          <t>Line item</t>
        </is>
      </c>
      <c r="B17" s="23" t="inlineStr">
        <is>
          <t>Amount (Rs)</t>
        </is>
      </c>
      <c r="C17" s="23" t="inlineStr">
        <is>
          <t>% of raise</t>
        </is>
      </c>
      <c r="D17" s="23" t="inlineStr"/>
      <c r="E17" s="23" t="inlineStr"/>
      <c r="F17" s="23" t="inlineStr">
        <is>
          <t>Rationale</t>
        </is>
      </c>
    </row>
    <row r="18" ht="30" customHeight="1">
      <c r="A18" s="24" t="inlineStr">
        <is>
          <t>Hire #1 - growth / content (18 mo)</t>
        </is>
      </c>
      <c r="B18" s="77" t="n">
        <v>67000</v>
      </c>
      <c r="C18" s="26">
        <f>B18/$B$5</f>
        <v/>
      </c>
      <c r="F18" s="27" t="inlineStr">
        <is>
          <t>Answers the 'who does distribution' objection. SEO + fintwit + creator partnerships. Non-negotiable for a solo founder.</t>
        </is>
      </c>
    </row>
    <row r="19" ht="30" customHeight="1">
      <c r="A19" s="24" t="inlineStr">
        <is>
          <t>Hire #2 - data / backend engineer (15 mo)</t>
        </is>
      </c>
      <c r="B19" s="77" t="n">
        <v>52000</v>
      </c>
      <c r="C19" s="26">
        <f>B19/$B$5</f>
        <v/>
      </c>
      <c r="F19" s="27" t="inlineStr">
        <is>
          <t>Closes B8/B9 properly, owns ingestion, removes the bus factor.</t>
        </is>
      </c>
    </row>
    <row r="20" ht="30" customHeight="1">
      <c r="A20" s="24" t="inlineStr">
        <is>
          <t>Hire #3 - full-stack, from month 6 (12 mo)</t>
        </is>
      </c>
      <c r="B20" s="77" t="n">
        <v>36000</v>
      </c>
      <c r="C20" s="26">
        <f>B20/$B$5</f>
        <v/>
      </c>
      <c r="F20" s="27" t="inlineStr">
        <is>
          <t>Ships the habit loop and the B2B surface.</t>
        </is>
      </c>
    </row>
    <row r="21" ht="30" customHeight="1">
      <c r="A21" s="24" t="inlineStr">
        <is>
          <t>Hire #4 / contractor pool - FUNDED ONLY ON UPSIZE</t>
        </is>
      </c>
      <c r="B21" s="77" t="n">
        <v>0</v>
      </c>
      <c r="C21" s="26">
        <f>B21/$B$5</f>
        <v/>
      </c>
      <c r="F21" s="27" t="inlineStr">
        <is>
          <t>Held for a proven bottleneck. This is the first line the $700K upsize funds; it is why the upsize exists.</t>
        </is>
      </c>
    </row>
    <row r="22" ht="30" customHeight="1">
      <c r="A22" s="24" t="inlineStr">
        <is>
          <t>Compliance + legal (SEBI RA, provenance opinion)</t>
        </is>
      </c>
      <c r="B22" s="77" t="n">
        <v>25000</v>
      </c>
      <c r="C22" s="26">
        <f>B22/$B$5</f>
        <v/>
      </c>
      <c r="F22" s="27" t="inlineStr">
        <is>
          <t>SEBI RA registration (~Rs 5.5L + GST), RAASB lien-marked deposit, data-provenance opinion, AI-disclosure copy review.</t>
        </is>
      </c>
    </row>
    <row r="23" ht="30" customHeight="1">
      <c r="A23" s="24" t="inlineStr">
        <is>
          <t>Infra, inference, data, broker API</t>
        </is>
      </c>
      <c r="B23" s="77" t="n">
        <v>45000</v>
      </c>
      <c r="C23" s="26">
        <f>B23/$B$5</f>
        <v/>
      </c>
      <c r="F23" s="27" t="inlineStr">
        <is>
          <t>Serving VM off the Mac, Vertex/inference (note: successor models cost 2.5-3.75x - SUBSCRIPTION_MODEL 3.2), Vercel Pro, broker API.</t>
        </is>
      </c>
    </row>
    <row r="24" ht="30" customHeight="1">
      <c r="A24" s="24" t="inlineStr">
        <is>
          <t>Growth experiments + creator partnerships</t>
        </is>
      </c>
      <c r="B24" s="77" t="n">
        <v>60000</v>
      </c>
      <c r="C24" s="26">
        <f>B24/$B$5</f>
        <v/>
      </c>
      <c r="F24" s="27" t="inlineStr">
        <is>
          <t>Creator partnerships, landing pages, small paid tests to establish a real CAC number.</t>
        </is>
      </c>
    </row>
    <row r="25" ht="30" customHeight="1">
      <c r="A25" s="24" t="inlineStr">
        <is>
          <t>Founder salary (15-18 mo, modest)</t>
        </is>
      </c>
      <c r="B25" s="77" t="n">
        <v>45000</v>
      </c>
      <c r="C25" s="26">
        <f>B25/$B$5</f>
        <v/>
      </c>
      <c r="F25" s="27" t="inlineStr">
        <is>
          <t>Investors prefer a paid founder to a distracted one - and a founder who has left the job (sec 8.0).</t>
        </is>
      </c>
    </row>
    <row r="26">
      <c r="A26" s="24" t="inlineStr">
        <is>
          <t>Buffer / contingency</t>
        </is>
      </c>
      <c r="B26" s="77" t="n">
        <v>70000</v>
      </c>
      <c r="C26" s="29">
        <f>B26/$B$5</f>
        <v/>
      </c>
      <c r="F26" t="inlineStr">
        <is>
          <t>17.5% of the raise. Trimmed from 25% when the round was resized from $500K to $400K.</t>
        </is>
      </c>
    </row>
    <row r="27">
      <c r="A27" s="30" t="inlineStr">
        <is>
          <t>TOTAL</t>
        </is>
      </c>
      <c r="B27" s="78">
        <f>SUM(B18:B26)</f>
        <v/>
      </c>
    </row>
    <row r="28">
      <c r="A28" t="inlineStr">
        <is>
          <t>Check vs raise (must be 0)</t>
        </is>
      </c>
      <c r="B28" s="79">
        <f>B27-B5</f>
        <v/>
      </c>
    </row>
    <row r="32">
      <c r="A32" s="14" t="inlineStr">
        <is>
          <t>DILUTION PATH TO SEED</t>
        </is>
      </c>
      <c r="B32" s="15" t="n"/>
      <c r="C32" s="15" t="n"/>
      <c r="D32" s="15" t="n"/>
      <c r="E32" s="15" t="n"/>
      <c r="F32" s="15" t="n"/>
    </row>
    <row r="33">
      <c r="A33" s="13" t="inlineStr">
        <is>
          <t>Founder after pre-seed</t>
        </is>
      </c>
      <c r="B33" s="19">
        <f>B9</f>
        <v/>
      </c>
    </row>
    <row r="34">
      <c r="A34" s="13" t="inlineStr">
        <is>
          <t>Advisor pool (2-3 RA/PMS advisors, FAST terms)</t>
        </is>
      </c>
      <c r="B34" s="32" t="n">
        <v>0.02</v>
      </c>
      <c r="F34" s="17" t="inlineStr">
        <is>
          <t>0.5-1% each, 2y vest, 3m cliff. Non-cash. Grant BEFORE the round closes so it sits below the cap.</t>
        </is>
      </c>
    </row>
    <row r="35">
      <c r="A35" s="13" t="inlineStr">
        <is>
          <t>Founder after advisor pool</t>
        </is>
      </c>
      <c r="B35" s="19">
        <f>B33*(1-B34)</f>
        <v/>
      </c>
    </row>
    <row r="36">
      <c r="A36" s="13" t="inlineStr">
        <is>
          <t>ESOP pool created post-round</t>
        </is>
      </c>
      <c r="B36" s="32" t="n">
        <v>0.1</v>
      </c>
      <c r="F36" s="17" t="inlineStr">
        <is>
          <t>India seed norm 15-25%.</t>
        </is>
      </c>
    </row>
    <row r="37">
      <c r="A37" s="13" t="inlineStr">
        <is>
          <t>Founder after ESOP</t>
        </is>
      </c>
      <c r="B37" s="19">
        <f>B35*(1-B36)</f>
        <v/>
      </c>
      <c r="F37" s="17" t="inlineStr">
        <is>
          <t>~62% for a solo founder post-seed is healthy.</t>
        </is>
      </c>
    </row>
    <row r="38">
      <c r="A38" s="13" t="inlineStr">
        <is>
          <t>Seed round dilution</t>
        </is>
      </c>
      <c r="B38" s="32" t="n">
        <v>0.2</v>
      </c>
    </row>
    <row r="39">
      <c r="A39" s="72" t="inlineStr">
        <is>
          <t>Founder after seed</t>
        </is>
      </c>
      <c r="B39" s="73">
        <f>B37*(1-B38)</f>
        <v/>
      </c>
      <c r="C39" s="15" t="n"/>
      <c r="D39" s="15" t="n"/>
      <c r="E39" s="15" t="n"/>
      <c r="F39" s="74" t="inlineStr">
        <is>
          <t>~60% for a solo founder two rounds in. The ~1.7 points the advisors cost is the cheapest credibility on the table.</t>
        </is>
      </c>
    </row>
    <row r="40">
      <c r="A40" s="11" t="inlineStr">
        <is>
          <t>Metric at month 15</t>
        </is>
      </c>
      <c r="B40" s="11" t="inlineStr">
        <is>
          <t>Target</t>
        </is>
      </c>
      <c r="C40" s="11" t="inlineStr"/>
      <c r="D40" s="11" t="inlineStr"/>
      <c r="E40" s="11" t="inlineStr"/>
      <c r="F40" s="11" t="inlineStr">
        <is>
          <t>Note</t>
        </is>
      </c>
    </row>
    <row r="41">
      <c r="A41" s="30" t="inlineStr">
        <is>
          <t>RAISE STRUCTURE — YC vs the alternatives (FUNDING_PLAN.md §7.0)</t>
        </is>
      </c>
      <c r="B41" s="20" t="inlineStr">
        <is>
          <t>15,000</t>
        </is>
      </c>
    </row>
    <row r="42">
      <c r="A42" s="80" t="inlineStr">
        <is>
          <t>RAISE STRUCTURE - SUPERSEDED, kept for reference only. Current terms: fixed $3.5M cap, $400K base / up to $700K, identical for every investor. The YC column below is void (rejected, 2026-08). See ROUND TERMS above and FUNDING_PLAN.md 7.1.</t>
        </is>
      </c>
      <c r="B42" s="80" t="inlineStr">
        <is>
          <t>A — YC standard deal (BEST)</t>
        </is>
      </c>
      <c r="C42" s="80" t="inlineStr">
        <is>
          <t>B — With YC badge / traction</t>
        </is>
      </c>
      <c r="D42" s="80" t="inlineStr">
        <is>
          <t>C — Cold India pre-seed</t>
        </is>
      </c>
    </row>
    <row r="43">
      <c r="A43" s="34" t="inlineStr">
        <is>
          <t>Money in (USD)</t>
        </is>
      </c>
      <c r="B43" s="77" t="n">
        <v>500000</v>
      </c>
      <c r="C43" s="77" t="n">
        <v>450000</v>
      </c>
      <c r="D43" s="77" t="n">
        <v>350000</v>
      </c>
      <c r="F43" s="17" t="inlineStr">
        <is>
          <t>YC gives 60% MORE money for HALF the equity — and the $375K tranche is UNCAPPED, so it prices at your next round instead of today's zero-traction valuation. It is the best instrument on this page.</t>
        </is>
      </c>
    </row>
    <row r="44">
      <c r="A44" s="34" t="inlineStr">
        <is>
          <t>Post-money cap (USD)</t>
        </is>
      </c>
      <c r="B44" s="77" t="n">
        <v>1786000</v>
      </c>
      <c r="C44" s="77" t="n">
        <v>4500000</v>
      </c>
      <c r="D44" s="77" t="n">
        <v>2600000</v>
      </c>
    </row>
    <row r="45">
      <c r="A45" s="34" t="inlineStr">
        <is>
          <t>Equity given now</t>
        </is>
      </c>
      <c r="B45" s="81" t="n">
        <v>0.07000000000000001</v>
      </c>
      <c r="C45" s="82">
        <f>C43/C44</f>
        <v/>
      </c>
      <c r="D45" s="82">
        <f>D43/D44</f>
        <v/>
      </c>
    </row>
    <row r="46">
      <c r="A46" s="34" t="inlineStr">
        <is>
          <t>Runway (months)</t>
        </is>
      </c>
      <c r="B46" s="83" t="n">
        <v>18</v>
      </c>
      <c r="C46" s="83" t="n">
        <v>18</v>
      </c>
      <c r="D46" s="83" t="n">
        <v>16</v>
      </c>
      <c r="F46" s="17" t="inlineStr">
        <is>
          <t>At zero traction and no YC badge you do not get to pick — the market picks C. Both levers that move you to B (YC acceptance, or traction) are things you DO, not things you ask for.</t>
        </is>
      </c>
    </row>
    <row r="47">
      <c r="A47" s="34" t="inlineStr">
        <is>
          <t>Money in (Rs Cr)</t>
        </is>
      </c>
      <c r="B47" s="84">
        <f>B43*$B$14/10000000</f>
        <v/>
      </c>
      <c r="C47" s="84">
        <f>C43*$B$14/10000000</f>
        <v/>
      </c>
      <c r="D47" s="84">
        <f>D43*$B$14/10000000</f>
        <v/>
      </c>
    </row>
    <row r="48">
      <c r="A48" s="23" t="inlineStr">
        <is>
          <t>Founder % after this round</t>
        </is>
      </c>
      <c r="B48" s="82">
        <f>1-B45</f>
        <v/>
      </c>
      <c r="C48" s="82">
        <f>1-C45</f>
        <v/>
      </c>
      <c r="D48" s="82">
        <f>1-D45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74" customWidth="1" min="3" max="3"/>
    <col width="16" customWidth="1" min="4" max="4"/>
    <col width="14" customWidth="1" min="5" max="5"/>
    <col width="26" customWidth="1" min="6" max="6"/>
  </cols>
  <sheetData>
    <row r="1">
      <c r="A1" s="1" t="inlineStr">
        <is>
          <t>14-Week Plan to Term Sheet</t>
        </is>
      </c>
    </row>
    <row r="2">
      <c r="A2" s="2" t="inlineStr">
        <is>
          <t>Do not invert Tracks B/C and D. Pitching at zero traction burns the intro - a second bite at the same fund in four months is much harder than a first bite in four months.</t>
        </is>
      </c>
    </row>
    <row r="4">
      <c r="A4" s="4" t="inlineStr">
        <is>
          <t>Week</t>
        </is>
      </c>
      <c r="B4" s="4" t="inlineStr">
        <is>
          <t>Track</t>
        </is>
      </c>
      <c r="C4" s="4" t="inlineStr">
        <is>
          <t>Deliverable</t>
        </is>
      </c>
      <c r="D4" s="4" t="inlineStr">
        <is>
          <t>Status</t>
        </is>
      </c>
      <c r="E4" s="4" t="inlineStr">
        <is>
          <t>Done date</t>
        </is>
      </c>
      <c r="F4" s="4" t="inlineStr">
        <is>
          <t>Notes</t>
        </is>
      </c>
    </row>
    <row r="5" ht="40" customHeight="1">
      <c r="A5" s="23" t="inlineStr">
        <is>
          <t>0</t>
        </is>
      </c>
      <c r="B5" s="23" t="inlineStr">
        <is>
          <t>A</t>
        </is>
      </c>
      <c r="C5" s="24" t="inlineStr">
        <is>
          <t>YC Fall 2026 application submitted (deadline 27 Jul, 8pm PT = 28 Jul 8:30am IST)</t>
        </is>
      </c>
      <c r="D5" s="35" t="inlineStr">
        <is>
          <t>Not started</t>
        </is>
      </c>
      <c r="E5" s="39" t="n"/>
      <c r="F5" s="40" t="n"/>
    </row>
    <row r="6" ht="40" customHeight="1">
      <c r="A6" s="23" t="inlineStr">
        <is>
          <t>1</t>
        </is>
      </c>
      <c r="B6" s="23" t="inlineStr">
        <is>
          <t>B</t>
        </is>
      </c>
      <c r="C6" s="24" t="inlineStr">
        <is>
          <t>Deploy pending fixes (copilot retrieval, market-ui, query-api); launchd install.sh; Redis restart policy; PostHog live; Vertex quota raise filed; ITR-3 landing page up (window closes 31 Aug)</t>
        </is>
      </c>
      <c r="D6" s="35" t="inlineStr">
        <is>
          <t>Not started</t>
        </is>
      </c>
      <c r="E6" s="39" t="n"/>
      <c r="F6" s="40" t="n"/>
    </row>
    <row r="7" ht="40" customHeight="1">
      <c r="A7" s="23" t="inlineStr">
        <is>
          <t>2</t>
        </is>
      </c>
      <c r="B7" s="23" t="inlineStr">
        <is>
          <t>B</t>
        </is>
      </c>
      <c r="C7" s="24" t="inlineStr">
        <is>
          <t>B8 substitution badges; B9 row flagging + suppression from AI answers and score inputs; citations rendered in every answer; anonymous sample questions; data-provenance memo drafted</t>
        </is>
      </c>
      <c r="D7" s="35" t="inlineStr">
        <is>
          <t>Not started</t>
        </is>
      </c>
      <c r="E7" s="39" t="n"/>
      <c r="F7" s="40" t="n"/>
    </row>
    <row r="8" ht="40" customHeight="1">
      <c r="A8" s="23" t="inlineStr">
        <is>
          <t>3</t>
        </is>
      </c>
      <c r="B8" s="23" t="inlineStr">
        <is>
          <t>B</t>
        </is>
      </c>
      <c r="C8" s="24" t="inlineStr">
        <is>
          <t>Serving migration off the Mac (e2-standard-4 or Hetzner); golden-eval rerun and PUBLISHED; repo hygiene C1-C3, C5</t>
        </is>
      </c>
      <c r="D8" s="35" t="inlineStr">
        <is>
          <t>Not started</t>
        </is>
      </c>
      <c r="E8" s="39" t="n"/>
      <c r="F8" s="40" t="n"/>
    </row>
    <row r="9" ht="40" customHeight="1">
      <c r="A9" s="23" t="inlineStr">
        <is>
          <t>4</t>
        </is>
      </c>
      <c r="B9" s="23" t="inlineStr">
        <is>
          <t>C</t>
        </is>
      </c>
      <c r="C9" s="24" t="inlineStr">
        <is>
          <t>Proactive 'since you last viewed' digest v1 shipped. Alpha cohort recruiting (target 50). ITR push live.</t>
        </is>
      </c>
      <c r="D9" s="35" t="inlineStr">
        <is>
          <t>Not started</t>
        </is>
      </c>
      <c r="E9" s="39" t="n"/>
      <c r="F9" s="40" t="n"/>
    </row>
    <row r="10" ht="40" customHeight="1">
      <c r="A10" s="23" t="inlineStr">
        <is>
          <t>5-6</t>
        </is>
      </c>
      <c r="B10" s="23" t="inlineStr">
        <is>
          <t>C</t>
        </is>
      </c>
      <c r="C10" s="24" t="inlineStr">
        <is>
          <t>Kite read-only OAuth portfolio import. B2B outreach: 50 RA/PMS conversations -&gt; 10 paid pilots. First 5 user calls.</t>
        </is>
      </c>
      <c r="D10" s="35" t="inlineStr">
        <is>
          <t>Not started</t>
        </is>
      </c>
      <c r="E10" s="39" t="n"/>
      <c r="F10" s="40" t="n"/>
    </row>
    <row r="11" ht="40" customHeight="1">
      <c r="A11" s="23" t="inlineStr">
        <is>
          <t>7-8</t>
        </is>
      </c>
      <c r="B11" s="23" t="inlineStr">
        <is>
          <t>C</t>
        </is>
      </c>
      <c r="C11" s="24" t="inlineStr">
        <is>
          <t>Digest v2 portfolio-aware. Razorpay + pricing live. First 20 retail payments. Deck v1 rebuilt from real numbers. Data room assembled.</t>
        </is>
      </c>
      <c r="D11" s="35" t="inlineStr">
        <is>
          <t>Not started</t>
        </is>
      </c>
      <c r="E11" s="39" t="n"/>
      <c r="F11" s="40" t="n"/>
    </row>
    <row r="12" ht="40" customHeight="1">
      <c r="A12" s="23" t="inlineStr">
        <is>
          <t>9</t>
        </is>
      </c>
      <c r="B12" s="23" t="inlineStr">
        <is>
          <t>D</t>
        </is>
      </c>
      <c r="C12" s="24" t="inlineStr">
        <is>
          <t>Angel outreach opens - Category B (RA/operator) angels first. Rainmatter approached.</t>
        </is>
      </c>
      <c r="D12" s="35" t="inlineStr">
        <is>
          <t>Not started</t>
        </is>
      </c>
      <c r="E12" s="39" t="n"/>
      <c r="F12" s="40" t="n"/>
    </row>
    <row r="13" ht="40" customHeight="1">
      <c r="A13" s="23" t="inlineStr">
        <is>
          <t>10-11</t>
        </is>
      </c>
      <c r="B13" s="23" t="inlineStr">
        <is>
          <t>D</t>
        </is>
      </c>
      <c r="C13" s="24" t="inlineStr">
        <is>
          <t>Micro-VC process: 15-20 first meetings. YC Early Decision (W2027) if Fall was a no.</t>
        </is>
      </c>
      <c r="D13" s="35" t="inlineStr">
        <is>
          <t>Not started</t>
        </is>
      </c>
      <c r="E13" s="39" t="n"/>
      <c r="F13" s="40" t="n"/>
    </row>
    <row r="14" ht="40" customHeight="1">
      <c r="A14" s="23" t="inlineStr">
        <is>
          <t>12-13</t>
        </is>
      </c>
      <c r="B14" s="23" t="inlineStr">
        <is>
          <t>D</t>
        </is>
      </c>
      <c r="C14" s="24" t="inlineStr">
        <is>
          <t>Partner meetings, diligence, negotiate.</t>
        </is>
      </c>
      <c r="D14" s="35" t="inlineStr">
        <is>
          <t>Not started</t>
        </is>
      </c>
      <c r="E14" s="39" t="n"/>
      <c r="F14" s="40" t="n"/>
    </row>
    <row r="15" ht="40" customHeight="1">
      <c r="A15" s="23" t="inlineStr">
        <is>
          <t>14</t>
        </is>
      </c>
      <c r="B15" s="23" t="inlineStr">
        <is>
          <t>D</t>
        </is>
      </c>
      <c r="C15" s="24" t="inlineStr">
        <is>
          <t>TARGET: lead committed, Rs 3 Cr closing.</t>
        </is>
      </c>
      <c r="D15" s="35" t="inlineStr">
        <is>
          <t>Not started</t>
        </is>
      </c>
      <c r="E15" s="39" t="n"/>
      <c r="F15" s="40" t="n"/>
    </row>
    <row r="17">
      <c r="A17" s="11" t="inlineStr">
        <is>
          <t>TRACKS</t>
        </is>
      </c>
    </row>
    <row r="18">
      <c r="A18" s="11" t="inlineStr">
        <is>
          <t>A</t>
        </is>
      </c>
      <c r="C18" s="30" t="inlineStr">
        <is>
          <t>YC application - tonight, hard deadline</t>
        </is>
      </c>
    </row>
    <row r="19">
      <c r="A19" s="11" t="inlineStr">
        <is>
          <t>B</t>
        </is>
      </c>
      <c r="C19" s="30" t="inlineStr">
        <is>
          <t>Make the product safe to show a stranger</t>
        </is>
      </c>
    </row>
    <row r="20">
      <c r="A20" s="11" t="inlineStr">
        <is>
          <t>C</t>
        </is>
      </c>
      <c r="C20" s="30" t="inlineStr">
        <is>
          <t>Manufacture traction - this IS the fundraise</t>
        </is>
      </c>
    </row>
    <row r="21">
      <c r="A21" s="11" t="inlineStr">
        <is>
          <t>D</t>
        </is>
      </c>
      <c r="C21" s="30" t="inlineStr">
        <is>
          <t>Investor process - opens week 9, not before</t>
        </is>
      </c>
    </row>
  </sheetData>
  <dataValidations count="1">
    <dataValidation sqref="D5:D15" showDropDown="0" showInputMessage="0" showErrorMessage="0" allowBlank="1" type="list">
      <formula1>"Not started,In progress,Done,Blocked,Dropped"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
  <sheetViews>
    <sheetView workbookViewId="0">
      <pane ySplit="4" topLeftCell="A5" activePane="bottomLeft" state="frozen"/>
      <selection pane="bottomLeft" activeCell="A1" sqref="A1"/>
    </sheetView>
  </sheetViews>
  <sheetFormatPr baseColWidth="8" defaultRowHeight="15"/>
  <cols>
    <col width="40" customWidth="1" min="1" max="1"/>
    <col width="62" customWidth="1" min="2" max="2"/>
    <col width="90" customWidth="1" min="3" max="3"/>
  </cols>
  <sheetData>
    <row r="1">
      <c r="A1" s="1" t="inlineStr">
        <is>
          <t>Sources</t>
        </is>
      </c>
    </row>
    <row r="2">
      <c r="A2" s="2" t="inlineStr">
        <is>
          <t>Every figure in this workbook traces to one of these. Verified 26 Jul 2026.</t>
        </is>
      </c>
    </row>
    <row r="4">
      <c r="A4" s="41" t="inlineStr">
        <is>
          <t>Claim used</t>
        </is>
      </c>
      <c r="B4" s="41" t="inlineStr">
        <is>
          <t>Source</t>
        </is>
      </c>
      <c r="C4" s="41" t="inlineStr">
        <is>
          <t>URL</t>
        </is>
      </c>
    </row>
    <row r="5" ht="28" customHeight="1">
      <c r="A5" s="24" t="inlineStr">
        <is>
          <t>Micro-VC cheque sizes &amp; stakes; ~200-250 India funds; validated fund list</t>
        </is>
      </c>
      <c r="B5" s="24" t="inlineStr">
        <is>
          <t>Blume - India's Micro VC Landscape, Mar 2026</t>
        </is>
      </c>
      <c r="C5" s="42" t="inlineStr">
        <is>
          <t>https://blume.vc/commentaries/indias-micro-vc-landscape-whos-writing-the-first-cheque-in-2026</t>
        </is>
      </c>
    </row>
    <row r="6" ht="28" customHeight="1">
      <c r="A6" s="24" t="inlineStr">
        <is>
          <t>Rainmatter: Rs 1,500Cr across 160+ startups</t>
        </is>
      </c>
      <c r="B6" s="24" t="inlineStr">
        <is>
          <t>Entrepreneur India</t>
        </is>
      </c>
      <c r="C6" s="42" t="inlineStr">
        <is>
          <t>https://www.entrepreneurindia.com/blog/en/news/zerodhas-rainmatter-invests-inr-1500-cr-across-160-startups-nithin-kamath.59855</t>
        </is>
      </c>
    </row>
    <row r="7" ht="28" customHeight="1">
      <c r="A7" s="24" t="inlineStr">
        <is>
          <t>Rainmatter cheque range Rs 50L-100Cr, no board seats</t>
        </is>
      </c>
      <c r="B7" s="24" t="inlineStr">
        <is>
          <t>Superscout investor profile</t>
        </is>
      </c>
      <c r="C7" s="42" t="inlineStr">
        <is>
          <t>https://superscout.co/investor/rainmatter-by-zerodha</t>
        </is>
      </c>
    </row>
    <row r="8" ht="28" customHeight="1">
      <c r="A8" s="24" t="inlineStr">
        <is>
          <t>Rainmatter 175 cos, 28 new in 12mo, 37 fintech</t>
        </is>
      </c>
      <c r="B8" s="24" t="inlineStr">
        <is>
          <t>Tracxn investor profile</t>
        </is>
      </c>
      <c r="C8" s="42" t="inlineStr">
        <is>
          <t>https://tracxn.com/d/venture-capital/rainmatter/__B1x0diOv9-lz5Gab4w5DV6RqPzlokkzk1JuAKX_v5uM</t>
        </is>
      </c>
    </row>
    <row r="9" ht="28" customHeight="1">
      <c r="A9" s="24" t="inlineStr">
        <is>
          <t>India seed valuations Rs 15-25Cr pre-money</t>
        </is>
      </c>
      <c r="B9" s="24" t="inlineStr">
        <is>
          <t>RaiseIQ seed benchmarks India 2026</t>
        </is>
      </c>
      <c r="C9" s="42" t="inlineStr">
        <is>
          <t>https://raiseiq.in/blog/seed-valuation-benchmarks-india/</t>
        </is>
      </c>
    </row>
    <row r="10" ht="28" customHeight="1">
      <c r="A10" s="24" t="inlineStr">
        <is>
          <t>Pre-seed dilution 10-15%; seed 15-25%</t>
        </is>
      </c>
      <c r="B10" s="24" t="inlineStr">
        <is>
          <t>Zeni pre-seed valuations 2026</t>
        </is>
      </c>
      <c r="C10" s="42" t="inlineStr">
        <is>
          <t>https://www.zeni.ai/blog/pre-seed-valuations</t>
        </is>
      </c>
    </row>
    <row r="11" ht="28" customHeight="1">
      <c r="A11" s="24" t="inlineStr">
        <is>
          <t>Lightspeed led Centricity $20M seed at $125M</t>
        </is>
      </c>
      <c r="B11" s="24" t="inlineStr">
        <is>
          <t>FinTech Global, Q1 2026 wealthtech</t>
        </is>
      </c>
      <c r="C11" s="42" t="inlineStr">
        <is>
          <t>https://fintech.global/2026/05/22/indian-wealthtech-funding-surged-by-84-yoy-in-q1-amid-renewed-investor-interest/</t>
        </is>
      </c>
    </row>
    <row r="12" ht="28" customHeight="1">
      <c r="A12" s="24" t="inlineStr">
        <is>
          <t>Accel &amp; Lightspeed = top India fintech investors by deal count</t>
        </is>
      </c>
      <c r="B12" s="24" t="inlineStr">
        <is>
          <t>Tracxn India fintech</t>
        </is>
      </c>
      <c r="C12" s="42" t="inlineStr">
        <is>
          <t>https://tracxn.com/d/explore/fintech-startups-in-india/__7DUvpjRYg2icfFp-L5Leb_WDJgbf2y7jQQQQAhbZAjw</t>
        </is>
      </c>
    </row>
    <row r="13" ht="28" customHeight="1">
      <c r="A13" s="24" t="inlineStr">
        <is>
          <t>Bertelsmann India backed Univest; $12.4M / 5 rounds</t>
        </is>
      </c>
      <c r="B13" s="24" t="inlineStr">
        <is>
          <t>Tracxn - Univest</t>
        </is>
      </c>
      <c r="C13" s="42" t="inlineStr">
        <is>
          <t>https://tracxn.com/d/companies/univest/__rblpONmvuoJz0MnOz3dyd-Ct1BMxQAt9NBIYA1ElEGo</t>
        </is>
      </c>
    </row>
    <row r="14" ht="28" customHeight="1">
      <c r="A14" s="24" t="inlineStr">
        <is>
          <t>Sparrow Capital ~Rs 400Cr Fund III, seed-focused; India AI seed +18% H1 2026</t>
        </is>
      </c>
      <c r="B14" s="24" t="inlineStr">
        <is>
          <t>StartupFeed - Indian AI funding H1 2026</t>
        </is>
      </c>
      <c r="C14" s="42" t="inlineStr">
        <is>
          <t>https://startupfeed.in/indian-ai-startup-funding-h1-2026/</t>
        </is>
      </c>
    </row>
    <row r="15" ht="28" customHeight="1">
      <c r="A15" s="24" t="inlineStr">
        <is>
          <t>India fintech $2bn H1 2026, ~80% late-stage, $68.6M to seed</t>
        </is>
      </c>
      <c r="B15" s="24" t="inlineStr">
        <is>
          <t>Business Standard</t>
        </is>
      </c>
      <c r="C15" s="42" t="inlineStr">
        <is>
          <t>https://www.business-standard.com/finance/news/india-s-fintech-sector-raises-2-bn-in-h1-2026-led-by-late-stage-funding-126071601258_1.html</t>
        </is>
      </c>
    </row>
    <row r="16" ht="28" customHeight="1">
      <c r="A16" s="24" t="inlineStr">
        <is>
          <t>YC Fall 2026: deadline 27 Jul 8pm PT, decision 28 Aug, batch Oct-Dec SF</t>
        </is>
      </c>
      <c r="B16" s="24" t="inlineStr">
        <is>
          <t>Y Combinator - Apply</t>
        </is>
      </c>
      <c r="C16" s="42" t="inlineStr">
        <is>
          <t>https://www.ycombinator.com/apply</t>
        </is>
      </c>
    </row>
    <row r="17" ht="28" customHeight="1">
      <c r="A17" s="24" t="inlineStr">
        <is>
          <t>YC terms $125K/7% + $375K uncapped MFN; Demo Day 2 Dec</t>
        </is>
      </c>
      <c r="B17" s="24" t="inlineStr">
        <is>
          <t>Best Startup US - YC Fall 2026</t>
        </is>
      </c>
      <c r="C17" s="42" t="inlineStr">
        <is>
          <t>https://beststartup.us/yc-fall-2026-applications-deadline/</t>
        </is>
      </c>
    </row>
    <row r="18" ht="28" customHeight="1">
      <c r="A18" s="24" t="inlineStr">
        <is>
          <t>YC application guidance; solo founders less likely to be funded</t>
        </is>
      </c>
      <c r="B18" s="24" t="inlineStr">
        <is>
          <t>Paul Graham - How to Apply to YC</t>
        </is>
      </c>
      <c r="C18" s="42" t="inlineStr">
        <is>
          <t>https://www.ycombinator.com/howtoapply</t>
        </is>
      </c>
    </row>
    <row r="19" ht="28" customHeight="1">
      <c r="A19" s="24" t="inlineStr">
        <is>
          <t>SEBI RA registration ~Rs 5L corporate + RAASB lien-marked deposit, NISM-XV</t>
        </is>
      </c>
      <c r="B19" s="24" t="inlineStr">
        <is>
          <t>Lawrbit - RA registration procedure</t>
        </is>
      </c>
      <c r="C19" s="42" t="inlineStr">
        <is>
          <t>https://www.lawrbit.com/capital-market/sebi-research-analyst-registration-procedure-india/</t>
        </is>
      </c>
    </row>
    <row r="20" ht="28" customHeight="1">
      <c r="A20" s="24" t="inlineStr">
        <is>
          <t>NSE prohibits scraping; redistribution needs a licence</t>
        </is>
      </c>
      <c r="B20" s="24" t="inlineStr">
        <is>
          <t>NSE Data Sharing &amp; Usage Policy</t>
        </is>
      </c>
      <c r="C20" s="42" t="inlineStr">
        <is>
          <t>https://www.nseindia.com/static/market-data/nse-data-policy</t>
        </is>
      </c>
    </row>
    <row r="21" ht="28" customHeight="1">
      <c r="A21" s="24" t="inlineStr">
        <is>
          <t>ITR AY2026-27: ITR-1/2 due 31 Jul; ITR-3/4 non-audit due 31 Aug (Finance Act 2026)</t>
        </is>
      </c>
      <c r="B21" s="24" t="inlineStr">
        <is>
          <t>ClearTax</t>
        </is>
      </c>
      <c r="C21" s="42" t="inlineStr">
        <is>
          <t>https://cleartax.in/last-date-to-file-itr</t>
        </is>
      </c>
    </row>
    <row r="22" ht="28" customHeight="1">
      <c r="A22" s="24" t="inlineStr">
        <is>
          <t>AlphaSense $350M at $7.5B, $600M+ ARR</t>
        </is>
      </c>
      <c r="B22" s="24" t="inlineStr">
        <is>
          <t>AlphaSense press release</t>
        </is>
      </c>
      <c r="C22" s="42" t="inlineStr">
        <is>
          <t>https://www.alpha-sense.com/press/alphasense-raises-350m-at-7-5bn-valuation-and-surpasses-600m-in-annual-recurring-revenue/</t>
        </is>
      </c>
    </row>
    <row r="23" ht="28" customHeight="1">
      <c r="A23" s="24" t="inlineStr">
        <is>
          <t>Rogo $75M Series C at $750M post, Jan 2026</t>
        </is>
      </c>
      <c r="B23" s="24" t="inlineStr">
        <is>
          <t>Sacra</t>
        </is>
      </c>
      <c r="C23" s="42" t="inlineStr">
        <is>
          <t>https://sacra.com/c/rogo/</t>
        </is>
      </c>
    </row>
    <row r="24" ht="28" customHeight="1">
      <c r="A24" s="24" t="inlineStr">
        <is>
          <t>Angel syndicates backed 800+ India deals in 2025</t>
        </is>
      </c>
      <c r="B24" s="24" t="inlineStr">
        <is>
          <t>Backrr - angel syndicates India</t>
        </is>
      </c>
      <c r="C24" s="42" t="inlineStr">
        <is>
          <t>https://backrr.com/blog/active-angel-syndicates-india</t>
        </is>
      </c>
    </row>
    <row r="25" ht="28" customHeight="1">
      <c r="A25" s="24" t="inlineStr">
        <is>
          <t>Kunal Shah active; latest ZILO Series A Feb 2026</t>
        </is>
      </c>
      <c r="B25" s="24" t="inlineStr">
        <is>
          <t>Qapita - active angel investors India 2026</t>
        </is>
      </c>
      <c r="C25" s="42" t="inlineStr">
        <is>
          <t>https://www.qapita.com/in/blog/top-angel-investors-in-india</t>
        </is>
      </c>
    </row>
    <row r="26" ht="28" customHeight="1">
      <c r="A26" s="24" t="inlineStr">
        <is>
          <t>Antler India = one of India's largest pre-seed, day-zero model</t>
        </is>
      </c>
      <c r="B26" s="24" t="inlineStr">
        <is>
          <t>Antler India</t>
        </is>
      </c>
      <c r="C26" s="42" t="inlineStr">
        <is>
          <t>https://www.antler.co/location/india</t>
        </is>
      </c>
    </row>
    <row r="27" ht="28" customHeight="1">
      <c r="A27" s="24" t="inlineStr">
        <is>
          <t>Founder ownership medians: 56.2% post-seed, 36.1% post-A, 23% post-B</t>
        </is>
      </c>
      <c r="B27" s="24" t="inlineStr">
        <is>
          <t>Carta Founder Ownership Report 2026</t>
        </is>
      </c>
      <c r="C27" s="42" t="inlineStr">
        <is>
          <t>https://carta.com/data/founder-ownership-2026/</t>
        </is>
      </c>
    </row>
    <row r="28" ht="28" customHeight="1">
      <c r="A28" s="24" t="inlineStr">
        <is>
          <t>Dilution by round; pre-seed 10-15%, seed 15-25%</t>
        </is>
      </c>
      <c r="B28" s="24" t="inlineStr">
        <is>
          <t>CRV — Equity Dilution Explained</t>
        </is>
      </c>
      <c r="C28" s="42" t="inlineStr">
        <is>
          <t>https://www.crv.com/content/equity-dilution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2026-07-26T13:28:53Z</dcterms:created>
  <dcterms:modified xmlns:dcterms="http://purl.org/dc/terms/" xmlns:xsi="http://www.w3.org/2001/XMLSchema-instance" xsi:type="dcterms:W3CDTF">2026-09-02T19:40:22Z</dcterms:modified>
</cp:coreProperties>
</file>