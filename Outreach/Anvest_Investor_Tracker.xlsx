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80147eb1564c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O THIS NEXT" sheetId="1" r:id="Rd1f9c148941048a8"/>
    <x:sheet xmlns:r="http://schemas.openxmlformats.org/officeDocument/2006/relationships" name="Metrics Gate" sheetId="2" r:id="Rc8cd76751d7c4600"/>
    <x:sheet xmlns:r="http://schemas.openxmlformats.org/officeDocument/2006/relationships" name="Investor Targets" sheetId="3" r:id="R7db1df7d209e4626"/>
    <x:sheet xmlns:r="http://schemas.openxmlformats.org/officeDocument/2006/relationships" name="Round Model" sheetId="4" r:id="R72ae5b67e88244be"/>
    <x:sheet xmlns:r="http://schemas.openxmlformats.org/officeDocument/2006/relationships" name="Timeline" sheetId="5" r:id="Rec207fa32afe4f1f"/>
    <x:sheet xmlns:r="http://schemas.openxmlformats.org/officeDocument/2006/relationships" name="Sources" sheetId="6" r:id="R52e7a7597f364f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164" formatCode="dd-mmm-yyyy"/>
    <x:numFmt numFmtId="165" formatCode="0.0%"/>
    <x:numFmt numFmtId="166" formatCode="0.0"/>
    <x:numFmt numFmtId="167" formatCode="#,##0;(#,##0);-"/>
    <x:numFmt numFmtId="168" formatCode="$#,##0"/>
    <x:numFmt numFmtId="169" formatCode="0.00&quot; Cr&quot;"/>
    <x:numFmt numFmtId="170" formatCode="$#,##0;($#,##0);-"/>
    <x:numFmt numFmtId="200" formatCode="0.00"/>
    <x:numFmt numFmtId="201" formatCode="#,##0"/>
    <x:numFmt numFmtId="202" formatCode="&quot;$&quot;#,##0"/>
    <x:numFmt numFmtId="203" formatCode="#,##0.00;(#,##0.00);0.00"/>
  </x:numFmts>
  <x:fonts count="23">
    <x:font>
      <x:sz val="11"/>
      <x:color theme="1"/>
      <x:name val="Calibri"/>
      <x:family val="2"/>
      <x:scheme val="minor"/>
    </x:font>
    <x:font>
      <x:b/>
      <x:sz val="14"/>
      <x:color rgb="FF1F3864"/>
      <x:name val="Arial"/>
    </x:font>
    <x:font>
      <x:i/>
      <x:sz val="10"/>
      <x:color rgb="FF595959"/>
      <x:name val="Arial"/>
    </x:font>
    <x:font>
      <x:i/>
      <x:sz val="9"/>
      <x:color rgb="FFC00000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name val="Arial"/>
    </x:font>
    <x:font>
      <x:b/>
      <x:sz val="11"/>
      <x:color rgb="FFFFFFFF"/>
      <x:name val="Arial"/>
    </x:font>
    <x:font>
      <x:sz val="10"/>
      <x:color rgb="FF0000FF"/>
      <x:name val="Arial"/>
    </x:font>
    <x:font>
      <x:i/>
      <x:sz val="9"/>
      <x:color rgb="FF595959"/>
      <x:name val="Arial"/>
    </x:font>
    <x:font>
      <x:sz val="9"/>
      <x:color rgb="FF595959"/>
      <x:name val="Arial"/>
    </x:font>
    <x:font>
      <x:b/>
      <x:sz val="10"/>
      <x:color rgb="FF1F3864"/>
      <x:name val="Arial"/>
    </x:font>
    <x:font>
      <x:b/>
      <x:sz val="10"/>
      <x:color rgb="FFC00000"/>
      <x:name val="Arial"/>
    </x:font>
    <x:font>
      <x:u val="single"/>
      <x:sz val="9"/>
      <x:color rgb="FF0563C1"/>
      <x:name val="Arial"/>
    </x:font>
    <x:font>
      <x:b/>
      <x:sz val="11"/>
      <x:color rgb="FFC00000"/>
      <x:name val="Arial"/>
    </x:font>
    <x:font>
      <x:i/>
      <x:sz val="10"/>
      <x:color rgb="FFC00000"/>
      <x:name val="Arial"/>
    </x:font>
    <x:font>
      <x:sz val="9"/>
      <x:name val="Arial"/>
    </x:font>
    <x:font>
      <x:b/>
      <x:sz val="11"/>
      <x:name val="Arial"/>
    </x:font>
    <x:font>
      <x:sz val="11"/>
      <x:color rgb="FF1F2937"/>
      <x:name val="Calibri"/>
      <x:family val="2"/>
      <x:scheme val="minor"/>
    </x:font>
    <x:font>
      <x:b/>
      <x:sz val="16"/>
      <x:color rgb="FFFFFFFF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sz val="11"/>
      <x:color rgb="FF1D4ED8"/>
      <x:name val="Calibri"/>
      <x:family val="2"/>
      <x:scheme val="minor"/>
    </x:font>
    <x:font>
      <x:sz val="11"/>
      <x:color rgb="FF0000FF"/>
      <x:name val="Calibri"/>
      <x:family val="2"/>
      <x:scheme val="minor"/>
    </x:font>
  </x:fonts>
  <x:fills count="40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C6E0B4"/>
      </x:patternFill>
    </x:fill>
    <x:fill>
      <x:patternFill patternType="solid">
        <x:fgColor rgb="FFFFFF00"/>
      </x:patternFill>
    </x:fill>
    <x:fill>
      <x:patternFill patternType="solid">
        <x:fgColor rgb="FFFFE699"/>
      </x:patternFill>
    </x:fill>
    <x:fill>
      <x:patternFill patternType="solid">
        <x:fgColor rgb="FFD9E1F2"/>
      </x:patternFill>
    </x:fill>
    <x:fill>
      <x:patternFill patternType="solid">
        <x:fgColor rgb="FFF8CBAD"/>
      </x:patternFill>
    </x:fill>
    <x:fill>
      <x:patternFill patternType="solid">
        <x:fgColor rgb="FFD9D9D9"/>
      </x:patternFill>
    </x:fill>
    <x:fill>
      <x:patternFill patternType="solid">
        <x:fgColor rgb="FFFFC7CE"/>
      </x:patternFill>
    </x:fill>
    <x:fill>
      <x:patternFill patternType="solid">
        <x:fgColor rgb="FF203864"/>
      </x:patternFill>
    </x:fill>
    <x:fill>
      <x:patternFill patternType="solid">
        <x:fgColor rgb="FFE2EFDA"/>
      </x:patternFill>
    </x:fill>
    <x:fill>
      <x:patternFill patternType="solid">
        <x:fgColor rgb="FFFFF2CC"/>
      </x:patternFill>
    </x:fill>
    <x:fill>
      <x:patternFill patternType="solid">
        <x:fgColor rgb="FFEAF0F8"/>
      </x:patternFill>
    </x:fill>
    <x:fill>
      <x:patternFill patternType="solid">
        <x:fgColor rgb="FFF2F2F2"/>
      </x:patternFill>
    </x:fill>
    <x:fill>
      <x:patternFill patternType="solid">
        <x:fgColor rgb="FF203864"/>
      </x:patternFill>
    </x:fill>
    <x:fill>
      <x:patternFill patternType="solid">
        <x:fgColor rgb="FFE2EFDA"/>
      </x:patternFill>
    </x:fill>
    <x:fill>
      <x:patternFill patternType="solid">
        <x:fgColor rgb="FFFFF2CC"/>
      </x:patternFill>
    </x:fill>
    <x:fill>
      <x:patternFill patternType="solid">
        <x:fgColor rgb="FFEAF0F8"/>
      </x:patternFill>
    </x:fill>
    <x:fill>
      <x:patternFill patternType="solid">
        <x:fgColor rgb="FFF2F2F2"/>
      </x:patternFill>
    </x:fill>
    <x:fill>
      <x:patternFill patternType="solid">
        <x:fgColor rgb="FF203864"/>
      </x:patternFill>
    </x:fill>
    <x:fill>
      <x:patternFill patternType="solid">
        <x:fgColor rgb="FFE2EFDA"/>
      </x:patternFill>
    </x:fill>
    <x:fill>
      <x:patternFill patternType="solid">
        <x:fgColor rgb="FFFFF2CC"/>
      </x:patternFill>
    </x:fill>
    <x:fill>
      <x:patternFill patternType="solid">
        <x:fgColor rgb="FFEAF0F8"/>
      </x:patternFill>
    </x:fill>
    <x:fill>
      <x:patternFill patternType="solid">
        <x:fgColor rgb="FFF2F2F2"/>
      </x:patternFill>
    </x:fill>
    <x:fill>
      <x:patternFill patternType="solid">
        <x:fgColor rgb="FF203864"/>
      </x:patternFill>
    </x:fill>
    <x:fill>
      <x:patternFill patternType="solid">
        <x:fgColor rgb="FFE2EFDA"/>
      </x:patternFill>
    </x:fill>
    <x:fill>
      <x:patternFill patternType="solid">
        <x:fgColor rgb="FFFFF2CC"/>
      </x:patternFill>
    </x:fill>
    <x:fill>
      <x:patternFill patternType="solid">
        <x:fgColor rgb="FFEAF0F8"/>
      </x:patternFill>
    </x:fill>
    <x:fill>
      <x:patternFill patternType="solid">
        <x:fgColor rgb="FFF2F2F2"/>
      </x:patternFill>
    </x:fill>
    <x:fill>
      <x:patternFill patternType="solid">
        <x:fgColor rgb="FF203864"/>
      </x:patternFill>
    </x:fill>
    <x:fill>
      <x:patternFill patternType="solid">
        <x:fgColor rgb="FFE2EFDA"/>
      </x:patternFill>
    </x:fill>
    <x:fill>
      <x:patternFill patternType="solid">
        <x:fgColor rgb="FFFFF2CC"/>
      </x:patternFill>
    </x:fill>
    <x:fill>
      <x:patternFill patternType="solid">
        <x:fgColor rgb="FFEAF0F8"/>
      </x:patternFill>
    </x:fill>
    <x:fill>
      <x:patternFill patternType="solid">
        <x:fgColor rgb="FFF2F2F2"/>
      </x:patternFill>
    </x:fill>
    <x:fill>
      <x:patternFill patternType="solid">
        <x:fgColor rgb="FF203864"/>
      </x:patternFill>
    </x:fill>
    <x:fill>
      <x:patternFill patternType="solid">
        <x:fgColor rgb="FFE2EFDA"/>
      </x:patternFill>
    </x:fill>
    <x:fill>
      <x:patternFill patternType="solid">
        <x:fgColor rgb="FFFFF2CC"/>
      </x:patternFill>
    </x:fill>
    <x:fill>
      <x:patternFill patternType="solid">
        <x:fgColor rgb="FFEAF0F8"/>
      </x:patternFill>
    </x:fill>
    <x:fill>
      <x:patternFill patternType="solid">
        <x:fgColor rgb="FFF2F2F2"/>
      </x:patternFill>
    </x:fill>
  </x:fills>
  <x:borders count="6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/>
      <x:right/>
      <x:top style="thin">
        <x:color rgb="FFBFBFBF"/>
      </x:top>
      <x:bottom/>
      <x:diagonal/>
    </x:border>
    <x:border>
      <x:left/>
      <x:right style="thin">
        <x:color rgb="FFBFBFBF"/>
      </x:right>
      <x:top style="thin">
        <x:color rgb="FFBFBFBF"/>
      </x:top>
      <x:bottom/>
      <x:diagonal/>
    </x:border>
    <x:border>
      <x:left/>
      <x:right/>
      <x:top style="thin">
        <x:color rgb="FFBFBFBF"/>
      </x:top>
      <x:bottom style="thin">
        <x:color rgb="FFBFBFBF"/>
      </x:bottom>
      <x:diagonal/>
    </x:border>
    <x:border>
      <x:left/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4" fillId="2" borderId="1" xfId="0" applyAlignment="1">
      <x:alignment horizontal="center" vertical="center"/>
    </x:xf>
    <x:xf numFmtId="0" fontId="5" fillId="3" borderId="1" xfId="0" applyAlignment="1">
      <x:alignment vertical="top" wrapText="1"/>
    </x:xf>
    <x:xf numFmtId="0" fontId="5" fillId="4" borderId="1" xfId="0" applyAlignment="1">
      <x:alignment vertical="top" wrapText="1"/>
    </x:xf>
    <x:xf numFmtId="164" fontId="5" fillId="4" borderId="1" xfId="0" applyAlignment="1">
      <x:alignment vertical="top" wrapText="1"/>
    </x:xf>
    <x:xf numFmtId="0" fontId="5" fillId="5" borderId="1" xfId="0" applyAlignment="1">
      <x:alignment vertical="top" wrapText="1"/>
    </x:xf>
    <x:xf numFmtId="0" fontId="5" fillId="6" borderId="1" xfId="0" applyAlignment="1">
      <x:alignment vertical="top" wrapText="1"/>
    </x:xf>
    <x:xf numFmtId="0" fontId="5" fillId="7" borderId="1" xfId="0" applyAlignment="1">
      <x:alignment vertical="top" wrapText="1"/>
    </x:xf>
    <x:xf numFmtId="0" fontId="6" fillId="0" borderId="0" xfId="0"/>
    <x:xf numFmtId="0" fontId="6" fillId="0" borderId="0" xfId="0" applyAlignment="1">
      <x:alignment vertical="top" wrapText="1"/>
    </x:xf>
    <x:xf numFmtId="0" fontId="5" fillId="0" borderId="0" xfId="0" applyAlignment="1">
      <x:alignment vertical="top" wrapText="1"/>
    </x:xf>
    <x:xf numFmtId="0" fontId="7" fillId="2" borderId="0" xfId="0"/>
    <x:xf numFmtId="0" fontId="0" fillId="2" borderId="0" xfId="0"/>
    <x:xf numFmtId="3" fontId="8" fillId="4" borderId="0" xfId="0"/>
    <x:xf numFmtId="0" fontId="9" fillId="0" borderId="0" xfId="0" applyAlignment="1">
      <x:alignment vertical="top" wrapText="1"/>
    </x:xf>
    <x:xf numFmtId="3" fontId="5" fillId="0" borderId="0" xfId="0"/>
    <x:xf numFmtId="165" fontId="5" fillId="0" borderId="0" xfId="0"/>
    <x:xf numFmtId="0" fontId="8" fillId="0" borderId="0" xfId="0"/>
    <x:xf numFmtId="1" fontId="8" fillId="0" borderId="0" xfId="0"/>
    <x:xf numFmtId="166" fontId="8" fillId="4" borderId="0" xfId="0"/>
    <x:xf numFmtId="0" fontId="6" fillId="0" borderId="1" xfId="0"/>
    <x:xf numFmtId="0" fontId="5" fillId="0" borderId="1" xfId="0" applyAlignment="1">
      <x:alignment vertical="top" wrapText="1"/>
    </x:xf>
    <x:xf numFmtId="3" fontId="8" fillId="0" borderId="1" xfId="0"/>
    <x:xf numFmtId="165" fontId="5" fillId="0" borderId="1" xfId="0"/>
    <x:xf numFmtId="0" fontId="10" fillId="0" borderId="0" xfId="0" applyAlignment="1">
      <x:alignment vertical="top" wrapText="1"/>
    </x:xf>
    <x:xf numFmtId="3" fontId="6" fillId="0" borderId="0" xfId="0"/>
    <x:xf numFmtId="165" fontId="6" fillId="0" borderId="0" xfId="0"/>
    <x:xf numFmtId="0" fontId="5" fillId="0" borderId="0" xfId="0"/>
    <x:xf numFmtId="167" fontId="5" fillId="0" borderId="0" xfId="0"/>
    <x:xf numFmtId="165" fontId="8" fillId="4" borderId="0" xfId="0"/>
    <x:xf numFmtId="0" fontId="11" fillId="0" borderId="0" xfId="0"/>
    <x:xf numFmtId="0" fontId="5" fillId="0" borderId="1" xfId="0"/>
    <x:xf numFmtId="0" fontId="8" fillId="4" borderId="1" xfId="0"/>
    <x:xf numFmtId="0" fontId="5" fillId="0" borderId="1" xfId="0" applyAlignment="1">
      <x:alignment horizontal="center" vertical="center"/>
    </x:xf>
    <x:xf numFmtId="0" fontId="10" fillId="0" borderId="1" xfId="0" applyAlignment="1">
      <x:alignment vertical="top" wrapText="1"/>
    </x:xf>
    <x:xf numFmtId="0" fontId="12" fillId="0" borderId="0" xfId="0"/>
    <x:xf numFmtId="164" fontId="0" fillId="4" borderId="1" xfId="0"/>
    <x:xf numFmtId="0" fontId="0" fillId="4" borderId="1" xfId="0"/>
    <x:xf numFmtId="0" fontId="4" fillId="2" borderId="1" xfId="0"/>
    <x:xf numFmtId="0" fontId="13" fillId="0" borderId="1" xfId="0" applyAlignment="1">
      <x:alignment vertical="top" wrapText="1"/>
    </x:xf>
    <x:xf numFmtId="0" fontId="6" fillId="7" borderId="1" xfId="0" applyAlignment="1">
      <x:alignment horizontal="center" vertical="center"/>
    </x:xf>
    <x:xf numFmtId="0" fontId="6" fillId="7" borderId="1" xfId="0" applyAlignment="1">
      <x:alignment vertical="top" wrapText="1"/>
    </x:xf>
    <x:xf numFmtId="0" fontId="10" fillId="7" borderId="1" xfId="0" applyAlignment="1">
      <x:alignment vertical="top" wrapText="1"/>
    </x:xf>
    <x:xf numFmtId="0" fontId="5" fillId="7" borderId="1" xfId="0" applyAlignment="1">
      <x:alignment horizontal="center" vertical="center"/>
    </x:xf>
    <x:xf numFmtId="0" fontId="10" fillId="7" borderId="1" xfId="0" applyAlignment="1">
      <x:alignment horizontal="center" vertical="center"/>
    </x:xf>
    <x:xf numFmtId="0" fontId="6" fillId="5" borderId="1" xfId="0" applyAlignment="1">
      <x:alignment horizontal="center" vertical="center"/>
    </x:xf>
    <x:xf numFmtId="0" fontId="6" fillId="5" borderId="1" xfId="0" applyAlignment="1">
      <x:alignment vertical="top" wrapText="1"/>
    </x:xf>
    <x:xf numFmtId="0" fontId="10" fillId="5" borderId="1" xfId="0" applyAlignment="1">
      <x:alignment vertical="top" wrapText="1"/>
    </x:xf>
    <x:xf numFmtId="0" fontId="5" fillId="5" borderId="1" xfId="0" applyAlignment="1">
      <x:alignment horizontal="center" vertical="center"/>
    </x:xf>
    <x:xf numFmtId="0" fontId="10" fillId="5" borderId="1" xfId="0" applyAlignment="1">
      <x:alignment horizontal="center" vertical="center"/>
    </x:xf>
    <x:xf numFmtId="0" fontId="6" fillId="3" borderId="1" xfId="0" applyAlignment="1">
      <x:alignment horizontal="center" vertical="center"/>
    </x:xf>
    <x:xf numFmtId="0" fontId="6" fillId="3" borderId="1" xfId="0" applyAlignment="1">
      <x:alignment vertical="top" wrapText="1"/>
    </x:xf>
    <x:xf numFmtId="0" fontId="10" fillId="3" borderId="1" xfId="0" applyAlignment="1">
      <x:alignment vertical="top" wrapText="1"/>
    </x:xf>
    <x:xf numFmtId="0" fontId="5" fillId="3" borderId="1" xfId="0" applyAlignment="1">
      <x:alignment horizontal="center" vertical="center"/>
    </x:xf>
    <x:xf numFmtId="0" fontId="10" fillId="3" borderId="1" xfId="0" applyAlignment="1">
      <x:alignment horizontal="center" vertical="center"/>
    </x:xf>
    <x:xf numFmtId="0" fontId="6" fillId="6" borderId="1" xfId="0" applyAlignment="1">
      <x:alignment horizontal="center" vertical="center"/>
    </x:xf>
    <x:xf numFmtId="0" fontId="6" fillId="6" borderId="1" xfId="0" applyAlignment="1">
      <x:alignment vertical="top" wrapText="1"/>
    </x:xf>
    <x:xf numFmtId="0" fontId="10" fillId="6" borderId="1" xfId="0" applyAlignment="1">
      <x:alignment vertical="top" wrapText="1"/>
    </x:xf>
    <x:xf numFmtId="0" fontId="5" fillId="6" borderId="1" xfId="0" applyAlignment="1">
      <x:alignment horizontal="center" vertical="center"/>
    </x:xf>
    <x:xf numFmtId="0" fontId="10" fillId="6" borderId="1" xfId="0" applyAlignment="1">
      <x:alignment horizontal="center" vertical="center"/>
    </x:xf>
    <x:xf numFmtId="0" fontId="6" fillId="0" borderId="0" xfId="0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6" fillId="7" borderId="0" xfId="0" applyAlignment="1">
      <x:alignment horizontal="center" vertical="center"/>
    </x:xf>
    <x:xf numFmtId="0" fontId="6" fillId="5" borderId="0" xfId="0" applyAlignment="1">
      <x:alignment horizontal="center" vertical="center"/>
    </x:xf>
    <x:xf numFmtId="0" fontId="6" fillId="3" borderId="0" xfId="0" applyAlignment="1">
      <x:alignment horizontal="center" vertical="center"/>
    </x:xf>
    <x:xf numFmtId="0" fontId="6" fillId="6" borderId="0" xfId="0" applyAlignment="1">
      <x:alignment horizontal="center" vertical="center"/>
    </x:xf>
    <x:xf numFmtId="0" fontId="14" fillId="0" borderId="0" xfId="0"/>
    <x:xf numFmtId="0" fontId="15" fillId="0" borderId="0" xfId="0" applyAlignment="1">
      <x:alignment vertical="top" wrapText="1"/>
    </x:xf>
    <x:xf numFmtId="0" fontId="0" fillId="0" borderId="1" xfId="0" applyAlignment="1">
      <x:alignment horizontal="center" vertical="center"/>
    </x:xf>
    <x:xf numFmtId="0" fontId="6" fillId="2" borderId="0" xfId="0" applyAlignment="1">
      <x:alignment vertical="top" wrapText="1"/>
    </x:xf>
    <x:xf numFmtId="165" fontId="6" fillId="2" borderId="0" xfId="0"/>
    <x:xf numFmtId="0" fontId="9" fillId="2" borderId="0" xfId="0" applyAlignment="1">
      <x:alignment vertical="top" wrapText="1"/>
    </x:xf>
    <x:xf numFmtId="168" fontId="8" fillId="4" borderId="0" xfId="0"/>
    <x:xf numFmtId="169" fontId="5" fillId="0" borderId="0" xfId="0"/>
    <x:xf numFmtId="168" fontId="8" fillId="0" borderId="1" xfId="0"/>
    <x:xf numFmtId="168" fontId="6" fillId="0" borderId="0" xfId="0"/>
    <x:xf numFmtId="170" fontId="0" fillId="0" borderId="0" xfId="0"/>
    <x:xf numFmtId="0" fontId="6" fillId="0" borderId="1" xfId="0" applyAlignment="1">
      <x:alignment vertical="top" wrapText="1"/>
    </x:xf>
    <x:xf numFmtId="165" fontId="8" fillId="0" borderId="1" xfId="0"/>
    <x:xf numFmtId="165" fontId="6" fillId="0" borderId="1" xfId="0"/>
    <x:xf numFmtId="1" fontId="8" fillId="0" borderId="1" xfId="0"/>
    <x:xf numFmtId="2" fontId="5" fillId="0" borderId="1" xfId="0"/>
    <x:xf numFmtId="0" fontId="0" fillId="6" borderId="1" xfId="0" applyAlignment="1">
      <x:alignment horizontal="center" vertical="center"/>
    </x:xf>
    <x:xf numFmtId="0" fontId="14" fillId="7" borderId="0" xfId="0" applyAlignment="1">
      <x:alignment horizontal="center" vertical="center"/>
    </x:xf>
    <x:xf numFmtId="0" fontId="16" fillId="3" borderId="1" xfId="0" applyAlignment="1">
      <x:alignment vertical="top" wrapText="1"/>
    </x:xf>
    <x:xf numFmtId="0" fontId="16" fillId="4" borderId="1" xfId="0" applyAlignment="1">
      <x:alignment vertical="top" wrapText="1"/>
    </x:xf>
    <x:xf numFmtId="0" fontId="16" fillId="5" borderId="1" xfId="0" applyAlignment="1">
      <x:alignment vertical="top" wrapText="1"/>
    </x:xf>
    <x:xf numFmtId="0" fontId="16" fillId="6" borderId="1" xfId="0" applyAlignment="1">
      <x:alignment vertical="top" wrapText="1"/>
    </x:xf>
    <x:xf numFmtId="0" fontId="5" fillId="8" borderId="1" xfId="0" applyAlignment="1">
      <x:alignment vertical="top" wrapText="1"/>
    </x:xf>
    <x:xf numFmtId="0" fontId="16" fillId="8" borderId="1" xfId="0" applyAlignment="1">
      <x:alignment vertical="top" wrapText="1"/>
    </x:xf>
    <x:xf numFmtId="0" fontId="16" fillId="7" borderId="1" xfId="0" applyAlignment="1">
      <x:alignment vertical="top" wrapText="1"/>
    </x:xf>
    <x:xf numFmtId="0" fontId="5" fillId="9" borderId="1" xfId="0" applyAlignment="1">
      <x:alignment vertical="top" wrapText="1"/>
    </x:xf>
    <x:xf numFmtId="0" fontId="16" fillId="9" borderId="1" xfId="0" applyAlignment="1">
      <x:alignment vertical="top" wrapText="1"/>
    </x:xf>
    <x:xf numFmtId="0" fontId="17" fillId="6" borderId="1" xfId="0" applyAlignment="1">
      <x:alignment vertical="top" wrapText="1"/>
    </x:xf>
    <x:xf numFmtId="0" fontId="0" fillId="0" borderId="4" xfId="0"/>
    <x:xf numFmtId="0" fontId="0" fillId="0" borderId="5" xfId="0"/>
    <x:xf numFmtId="0" fontId="16" fillId="0" borderId="0" xfId="0" applyAlignment="1">
      <x:alignment vertical="top" wrapText="1"/>
    </x:xf>
    <x:xf numFmtId="0" fontId="6" fillId="9" borderId="1" xfId="0" applyAlignment="1">
      <x:alignment vertical="top" wrapText="1"/>
    </x:xf>
    <x:xf numFmtId="0" fontId="6" fillId="8" borderId="1" xfId="0" applyAlignment="1">
      <x:alignment vertical="top" wrapText="1"/>
    </x:xf>
    <x:xf numFmtId="0" fontId="17" fillId="6" borderId="1" xfId="0" applyAlignment="1">
      <x:alignment horizontal="center" vertical="center"/>
    </x:xf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18" fillId="10" borderId="0" xfId="0" applyNumberFormat="1" applyFont="1" applyFill="1" applyBorder="1" applyAlignment="1">
      <x:alignment vertical="top" wrapText="1"/>
    </x:xf>
    <x:xf numFmtId="0" fontId="19" fillId="10" borderId="0" xfId="0" applyNumberFormat="1" applyFont="1" applyFill="1" applyBorder="1" applyAlignment="1">
      <x:alignment vertical="top" wrapText="1"/>
    </x:xf>
    <x:xf numFmtId="0" fontId="20" fillId="10" borderId="0" xfId="0" applyNumberFormat="1" applyFont="1" applyFill="1" applyBorder="1" applyAlignment="1">
      <x:alignment vertical="top" wrapText="1"/>
    </x:xf>
    <x:xf numFmtId="164" fontId="18" fillId="0" borderId="0" xfId="0" applyNumberFormat="1" applyFont="1" applyFill="1" applyBorder="1" applyAlignment="1">
      <x:alignment vertical="top" wrapText="1"/>
    </x:xf>
    <x:xf numFmtId="0" fontId="18" fillId="11" borderId="0" xfId="0" applyNumberFormat="1" applyFont="1" applyFill="1" applyBorder="1" applyAlignment="1">
      <x:alignment vertical="top" wrapText="1"/>
    </x:xf>
    <x:xf numFmtId="0" fontId="18" fillId="12" borderId="0" xfId="0" applyNumberFormat="1" applyFont="1" applyFill="1" applyBorder="1" applyAlignment="1">
      <x:alignment vertical="top" wrapText="1"/>
    </x:xf>
    <x:xf numFmtId="0" fontId="18" fillId="13" borderId="0" xfId="0" applyNumberFormat="1" applyFont="1" applyFill="1" applyBorder="1" applyAlignment="1">
      <x:alignment vertical="top" wrapText="1"/>
    </x:xf>
    <x:xf numFmtId="0" fontId="18" fillId="14" borderId="0" xfId="0" applyNumberFormat="1" applyFont="1" applyFill="1" applyBorder="1" applyAlignment="1">
      <x:alignment vertical="top" wrapText="1"/>
    </x:xf>
    <x:xf numFmtId="0" fontId="21" fillId="0" borderId="0" xfId="0" applyNumberFormat="1" applyFont="1" applyFill="1" applyBorder="1" applyAlignment="1">
      <x:alignment vertical="top" wrapText="1"/>
    </x:xf>
    <x:xf numFmtId="164" fontId="21" fillId="0" borderId="0" xfId="0" applyNumberFormat="1" applyFont="1" applyFill="1" applyBorder="1" applyAlignment="1">
      <x:alignment vertical="top" wrapText="1"/>
    </x:xf>
    <x:xf numFmtId="0" fontId="22" fillId="0" borderId="0" xfId="0" applyNumberFormat="1" applyFont="1" applyFill="1" applyBorder="1" applyAlignment="1">
      <x:alignment vertical="top" wrapText="1"/>
    </x:xf>
    <x:xf numFmtId="165" fontId="18" fillId="0" borderId="0" xfId="0" applyNumberFormat="1" applyFont="1" applyFill="1" applyBorder="1" applyAlignment="1">
      <x:alignment vertical="top" wrapText="1"/>
    </x:xf>
    <x:xf numFmtId="200" fontId="18" fillId="0" borderId="0" xfId="0" applyNumberFormat="1" applyFont="1" applyFill="1" applyBorder="1" applyAlignment="1">
      <x:alignment vertical="top" wrapText="1"/>
    </x:xf>
    <x:xf numFmtId="201" fontId="22" fillId="0" borderId="0" xfId="0" applyNumberFormat="1" applyFont="1" applyFill="1" applyBorder="1" applyAlignment="1">
      <x:alignment vertical="top" wrapText="1"/>
    </x:xf>
    <x:xf numFmtId="202" fontId="18" fillId="0" borderId="0" xfId="0" applyNumberFormat="1" applyFont="1" applyFill="1" applyBorder="1" applyAlignment="1">
      <x:alignment vertical="top" wrapText="1"/>
    </x:xf>
    <x:xf numFmtId="203" fontId="18" fillId="0" borderId="0" xfId="0" applyNumberFormat="1" applyFont="1" applyFill="1" applyBorder="1" applyAlignment="1">
      <x:alignment vertical="top" wrapText="1"/>
    </x:xf>
    <x:xf numFmtId="166" fontId="18" fillId="0" borderId="0" xfId="0" applyNumberFormat="1" applyFont="1" applyFill="1" applyBorder="1" applyAlignment="1">
      <x:alignment vertical="top" wrapText="1"/>
    </x:xf>
    <x:xf numFmtId="201" fontId="18" fillId="0" borderId="0" xfId="0" applyNumberFormat="1" applyFont="1" applyFill="1" applyBorder="1" applyAlignment="1">
      <x:alignment vertical="top" wrapText="1"/>
    </x:xf>
    <x:xf numFmtId="0" fontId="18" fillId="15" borderId="0" xfId="0" applyNumberFormat="1" applyFont="1" applyFill="1" applyBorder="1" applyAlignment="1">
      <x:alignment vertical="top" wrapText="1"/>
    </x:xf>
    <x:xf numFmtId="0" fontId="19" fillId="15" borderId="0" xfId="0" applyNumberFormat="1" applyFont="1" applyFill="1" applyBorder="1" applyAlignment="1">
      <x:alignment vertical="top" wrapText="1"/>
    </x:xf>
    <x:xf numFmtId="0" fontId="20" fillId="15" borderId="0" xfId="0" applyNumberFormat="1" applyFont="1" applyFill="1" applyBorder="1" applyAlignment="1">
      <x:alignment vertical="top" wrapText="1"/>
    </x:xf>
    <x:xf numFmtId="0" fontId="18" fillId="16" borderId="0" xfId="0" applyNumberFormat="1" applyFont="1" applyFill="1" applyBorder="1" applyAlignment="1">
      <x:alignment vertical="top" wrapText="1"/>
    </x:xf>
    <x:xf numFmtId="0" fontId="18" fillId="17" borderId="0" xfId="0" applyNumberFormat="1" applyFont="1" applyFill="1" applyBorder="1" applyAlignment="1">
      <x:alignment vertical="top" wrapText="1"/>
    </x:xf>
    <x:xf numFmtId="0" fontId="18" fillId="18" borderId="0" xfId="0" applyNumberFormat="1" applyFont="1" applyFill="1" applyBorder="1" applyAlignment="1">
      <x:alignment vertical="top" wrapText="1"/>
    </x:xf>
    <x:xf numFmtId="0" fontId="18" fillId="19" borderId="0" xfId="0" applyNumberFormat="1" applyFont="1" applyFill="1" applyBorder="1" applyAlignment="1">
      <x:alignment vertical="top" wrapText="1"/>
    </x:xf>
    <x:xf numFmtId="0" fontId="18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20" fillId="20" borderId="0" xfId="0" applyNumberFormat="1" applyFont="1" applyFill="1" applyBorder="1" applyAlignment="1">
      <x:alignment vertical="top" wrapText="1"/>
    </x:xf>
    <x:xf numFmtId="0" fontId="18" fillId="21" borderId="0" xfId="0" applyNumberFormat="1" applyFont="1" applyFill="1" applyBorder="1" applyAlignment="1">
      <x:alignment vertical="top" wrapText="1"/>
    </x:xf>
    <x:xf numFmtId="0" fontId="18" fillId="22" borderId="0" xfId="0" applyNumberFormat="1" applyFont="1" applyFill="1" applyBorder="1" applyAlignment="1">
      <x:alignment vertical="top" wrapText="1"/>
    </x:xf>
    <x:xf numFmtId="0" fontId="18" fillId="23" borderId="0" xfId="0" applyNumberFormat="1" applyFont="1" applyFill="1" applyBorder="1" applyAlignment="1">
      <x:alignment vertical="top" wrapText="1"/>
    </x:xf>
    <x:xf numFmtId="0" fontId="18" fillId="24" borderId="0" xfId="0" applyNumberFormat="1" applyFont="1" applyFill="1" applyBorder="1" applyAlignment="1">
      <x:alignment vertical="top" wrapText="1"/>
    </x:xf>
    <x:xf numFmtId="0" fontId="18" fillId="25" borderId="0" xfId="0" applyNumberFormat="1" applyFont="1" applyFill="1" applyBorder="1" applyAlignment="1">
      <x:alignment vertical="top" wrapText="1"/>
    </x:xf>
    <x:xf numFmtId="0" fontId="19" fillId="25" borderId="0" xfId="0" applyNumberFormat="1" applyFont="1" applyFill="1" applyBorder="1" applyAlignment="1">
      <x:alignment vertical="top" wrapText="1"/>
    </x:xf>
    <x:xf numFmtId="0" fontId="20" fillId="25" borderId="0" xfId="0" applyNumberFormat="1" applyFont="1" applyFill="1" applyBorder="1" applyAlignment="1">
      <x:alignment vertical="top" wrapText="1"/>
    </x:xf>
    <x:xf numFmtId="0" fontId="18" fillId="26" borderId="0" xfId="0" applyNumberFormat="1" applyFont="1" applyFill="1" applyBorder="1" applyAlignment="1">
      <x:alignment vertical="top" wrapText="1"/>
    </x:xf>
    <x:xf numFmtId="0" fontId="18" fillId="27" borderId="0" xfId="0" applyNumberFormat="1" applyFont="1" applyFill="1" applyBorder="1" applyAlignment="1">
      <x:alignment vertical="top" wrapText="1"/>
    </x:xf>
    <x:xf numFmtId="0" fontId="18" fillId="28" borderId="0" xfId="0" applyNumberFormat="1" applyFont="1" applyFill="1" applyBorder="1" applyAlignment="1">
      <x:alignment vertical="top" wrapText="1"/>
    </x:xf>
    <x:xf numFmtId="0" fontId="18" fillId="29" borderId="0" xfId="0" applyNumberFormat="1" applyFont="1" applyFill="1" applyBorder="1" applyAlignment="1">
      <x:alignment vertical="top" wrapText="1"/>
    </x:xf>
    <x:xf numFmtId="0" fontId="18" fillId="30" borderId="0" xfId="0" applyNumberFormat="1" applyFont="1" applyFill="1" applyBorder="1" applyAlignment="1">
      <x:alignment vertical="top" wrapText="1"/>
    </x:xf>
    <x:xf numFmtId="0" fontId="19" fillId="30" borderId="0" xfId="0" applyNumberFormat="1" applyFont="1" applyFill="1" applyBorder="1" applyAlignment="1">
      <x:alignment vertical="top" wrapText="1"/>
    </x:xf>
    <x:xf numFmtId="0" fontId="20" fillId="30" borderId="0" xfId="0" applyNumberFormat="1" applyFont="1" applyFill="1" applyBorder="1" applyAlignment="1">
      <x:alignment vertical="top" wrapText="1"/>
    </x:xf>
    <x:xf numFmtId="0" fontId="18" fillId="31" borderId="0" xfId="0" applyNumberFormat="1" applyFont="1" applyFill="1" applyBorder="1" applyAlignment="1">
      <x:alignment vertical="top" wrapText="1"/>
    </x:xf>
    <x:xf numFmtId="0" fontId="18" fillId="32" borderId="0" xfId="0" applyNumberFormat="1" applyFont="1" applyFill="1" applyBorder="1" applyAlignment="1">
      <x:alignment vertical="top" wrapText="1"/>
    </x:xf>
    <x:xf numFmtId="0" fontId="18" fillId="33" borderId="0" xfId="0" applyNumberFormat="1" applyFont="1" applyFill="1" applyBorder="1" applyAlignment="1">
      <x:alignment vertical="top" wrapText="1"/>
    </x:xf>
    <x:xf numFmtId="0" fontId="18" fillId="34" borderId="0" xfId="0" applyNumberFormat="1" applyFont="1" applyFill="1" applyBorder="1" applyAlignment="1">
      <x:alignment vertical="top" wrapText="1"/>
    </x:xf>
    <x:xf numFmtId="0" fontId="18" fillId="35" borderId="0" xfId="0" applyNumberFormat="1" applyFont="1" applyFill="1" applyBorder="1" applyAlignment="1">
      <x:alignment vertical="top" wrapText="1"/>
    </x:xf>
    <x:xf numFmtId="0" fontId="19" fillId="35" borderId="0" xfId="0" applyNumberFormat="1" applyFont="1" applyFill="1" applyBorder="1" applyAlignment="1">
      <x:alignment vertical="top" wrapText="1"/>
    </x:xf>
    <x:xf numFmtId="0" fontId="20" fillId="35" borderId="0" xfId="0" applyNumberFormat="1" applyFont="1" applyFill="1" applyBorder="1" applyAlignment="1">
      <x:alignment vertical="top" wrapText="1"/>
    </x:xf>
    <x:xf numFmtId="0" fontId="18" fillId="36" borderId="0" xfId="0" applyNumberFormat="1" applyFont="1" applyFill="1" applyBorder="1" applyAlignment="1">
      <x:alignment vertical="top" wrapText="1"/>
    </x:xf>
    <x:xf numFmtId="0" fontId="18" fillId="37" borderId="0" xfId="0" applyNumberFormat="1" applyFont="1" applyFill="1" applyBorder="1" applyAlignment="1">
      <x:alignment vertical="top" wrapText="1"/>
    </x:xf>
    <x:xf numFmtId="0" fontId="18" fillId="38" borderId="0" xfId="0" applyNumberFormat="1" applyFont="1" applyFill="1" applyBorder="1" applyAlignment="1">
      <x:alignment vertical="top" wrapText="1"/>
    </x:xf>
    <x:xf numFmtId="0" fontId="18" fillId="39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aa3647fd9c4856" /><Relationship Type="http://schemas.openxmlformats.org/officeDocument/2006/relationships/theme" Target="/xl/theme/theme1.xml" Id="R6fefd86bb62b4955" /><Relationship Type="http://schemas.openxmlformats.org/officeDocument/2006/relationships/sharedStrings" Target="/xl/sharedStrings.xml" Id="R062e9e29248c46bd" /><Relationship Type="http://schemas.openxmlformats.org/officeDocument/2006/relationships/worksheet" Target="/xl/worksheets/sheet1.xml" Id="Rd1f9c148941048a8" /><Relationship Type="http://schemas.openxmlformats.org/officeDocument/2006/relationships/worksheet" Target="/xl/worksheets/sheet2.xml" Id="Rc8cd76751d7c4600" /><Relationship Type="http://schemas.openxmlformats.org/officeDocument/2006/relationships/worksheet" Target="/xl/worksheets/sheet3.xml" Id="R7db1df7d209e4626" /><Relationship Type="http://schemas.openxmlformats.org/officeDocument/2006/relationships/worksheet" Target="/xl/worksheets/sheet4.xml" Id="R72ae5b67e88244be" /><Relationship Type="http://schemas.openxmlformats.org/officeDocument/2006/relationships/worksheet" Target="/xl/worksheets/sheet5.xml" Id="Rec207fa32afe4f1f" /><Relationship Type="http://schemas.openxmlformats.org/officeDocument/2006/relationships/worksheet" Target="/xl/worksheets/sheet6.xml" Id="R52e7a7597f364fc3" /></Relationships>
</file>

<file path=xl/tables/table1.xml><?xml version="1.0" encoding="utf-8"?>
<x:table xmlns:x="http://schemas.openxmlformats.org/spreadsheetml/2006/main" id="1" name="InvestorContacts" displayName="InvestorContacts" ref="A5:AC55" headerRowCount="1" totalsRowCount="0" totalsRowShown="0">
  <x:tableColumns count="29">
    <x:tableColumn id="1" name="Wave"/>
    <x:tableColumn id="2" name="Name"/>
    <x:tableColumn id="3" name="Type"/>
    <x:tableColumn id="4" name="Published cheque / terms"/>
    <x:tableColumn id="5" name="Lead role"/>
    <x:tableColumn id="6" name="Fit assessment"/>
    <x:tableColumn id="7" name="Why this target"/>
    <x:tableColumn id="8" name="Constraint / verification note"/>
    <x:tableColumn id="9" name="Introduction path"/>
    <x:tableColumn id="10" name="Priority"/>
    <x:tableColumn id="11" name="Status"/>
    <x:tableColumn id="12" name="Owner"/>
    <x:tableColumn id="13" name="Next action"/>
    <x:tableColumn id="14" name="Planned action date"/>
    <x:tableColumn id="15" name="Notes"/>
    <x:tableColumn id="16" name="Contact person"/>
    <x:tableColumn id="17" name="Published email"/>
    <x:tableColumn id="18" name="Best route"/>
    <x:tableColumn id="19" name="Contact / form URL"/>
    <x:tableColumn id="20" name="Primary source URL"/>
    <x:tableColumn id="21" name="Checked on"/>
    <x:tableColumn id="22" name="Suggested personal opener"/>
    <x:tableColumn id="23" name="First sent"/>
    <x:tableColumn id="24" name="Last touch"/>
    <x:tableColumn id="25" name="Follow-ups sent"/>
    <x:tableColumn id="26" name="Reply / outcome"/>
    <x:tableColumn id="27" name="Intro owner"/>
    <x:tableColumn id="28" name="Next follow-up"/>
    <x:tableColumn id="29" name="Record 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b2e56b80cc34af4" /></Relationships>
</file>

<file path=xl/worksheets/sheet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baseColWidth="8" defaultRowHeight="15"/>
  <x:cols>
    <x:col min="1" max="1" width="6.110000133514404" hidden="0" customWidth="1"/>
    <x:col min="2" max="2" width="16.670000076293945" hidden="0" customWidth="1"/>
    <x:col min="3" max="3" width="40" hidden="0" customWidth="1"/>
    <x:col min="4" max="4" width="46.66999816894531" hidden="0" customWidth="1"/>
    <x:col min="5" max="5" width="15.5600004196167" hidden="0" customWidth="1"/>
    <x:col min="6" max="6" width="15" hidden="0" customWidth="1"/>
    <x:col min="7" max="7" width="15.5600004196167" hidden="0" customWidth="1"/>
    <x:col min="8" max="8" width="46.66999816894531" hidden="0" customWidth="1"/>
    <x:col min="9" max="9" width="33.33000183105469" hidden="0" customWidth="1"/>
  </x:cols>
  <x:sheetData>
    <x:row r="1" ht="28.5" customHeight="1">
      <x:c r="A1" s="153" t="str">
        <x:v>ANVEST — DO THIS NEXT</x:v>
      </x:c>
      <x:c r="B1" s="153"/>
      <x:c r="C1" s="153"/>
      <x:c r="D1" s="153"/>
      <x:c r="E1" s="153"/>
      <x:c r="F1" s="153"/>
      <x:c r="G1" s="153"/>
      <x:c r="H1" s="153"/>
      <x:c r="I1" s="153"/>
    </x:row>
    <x:row r="2" ht="31.5" customHeight="1">
      <x:c r="A2" s="105" t="str">
        <x:v>20 Oct 2026 | Start suitable pre-seed funds now, in measured batches. This is a preparation and tracking workbook; nothing has been sent.</x:v>
      </x:c>
      <x:c r="B2" s="105"/>
      <x:c r="C2" s="105"/>
      <x:c r="D2" s="105"/>
      <x:c r="E2" s="105"/>
      <x:c r="F2" s="105"/>
      <x:c r="G2" s="105"/>
      <x:c r="H2" s="105"/>
      <x:c r="I2" s="105"/>
    </x:row>
    <x:row r="3" ht="11.25" customHeight="1">
      <x:c r="A3" s="105"/>
      <x:c r="B3" s="105"/>
      <x:c r="C3" s="105"/>
      <x:c r="D3" s="105"/>
      <x:c r="E3" s="105"/>
      <x:c r="F3" s="105"/>
      <x:c r="G3" s="105"/>
      <x:c r="H3" s="105"/>
      <x:c r="I3" s="105"/>
    </x:row>
    <x:row r="4" ht="11.25" customHeight="1">
      <x:c r="A4" s="105"/>
      <x:c r="B4" s="105"/>
      <x:c r="C4" s="105"/>
      <x:c r="D4" s="105"/>
      <x:c r="E4" s="105"/>
      <x:c r="F4" s="105"/>
      <x:c r="G4" s="105"/>
      <x:c r="H4" s="105"/>
      <x:c r="I4" s="105"/>
    </x:row>
    <x:row r="5" ht="30" customHeight="1">
      <x:c r="A5" s="154" t="str">
        <x:v>#</x:v>
      </x:c>
      <x:c r="B5" s="154" t="str">
        <x:v>When</x:v>
      </x:c>
      <x:c r="C5" s="154" t="str">
        <x:v>Do this</x:v>
      </x:c>
      <x:c r="D5" s="154" t="str">
        <x:v>Why / what it unblocks</x:v>
      </x:c>
      <x:c r="E5" s="154" t="str">
        <x:v>Effort</x:v>
      </x:c>
      <x:c r="F5" s="154" t="str">
        <x:v>Status</x:v>
      </x:c>
      <x:c r="G5" s="154" t="str">
        <x:v>Done date</x:v>
      </x:c>
      <x:c r="H5" s="154" t="str">
        <x:v>Notes</x:v>
      </x:c>
      <x:c r="I5" s="154" t="str">
        <x:v>Reference</x:v>
      </x:c>
    </x:row>
    <x:row r="6" ht="51" customHeight="1">
      <x:c r="A6" s="105" t="str">
        <x:v>1</x:v>
      </x:c>
      <x:c r="B6" s="105" t="str">
        <x:v>Today</x:v>
      </x:c>
      <x:c r="C6" s="105" t="str">
        <x:v>Use INV01 and INV02 for first two personalized pitches</x:v>
      </x:c>
      <x:c r="D6" s="105" t="str">
        <x:v>Eximius + All In are current-round candidates. Review PDF links and demo before each send.</x:v>
      </x:c>
      <x:c r="E6" s="105" t="str">
        <x:v>45 min</x:v>
      </x:c>
      <x:c r="F6" s="105" t="str">
        <x:v>Not started</x:v>
      </x:c>
      <x:c r="G6" s="109"/>
      <x:c r="H6" s="105" t="str">
        <x:v>One recipient/route per fund. No bulk BCC.</x:v>
      </x:c>
      <x:c r="I6" s="105" t="str">
        <x:v>OUTREACH_PLAYBOOK.md</x:v>
      </x:c>
    </x:row>
    <x:row r="7" ht="51" customHeight="1">
      <x:c r="A7" s="105" t="str">
        <x:v>2</x:v>
      </x:c>
      <x:c r="B7" s="105" t="str">
        <x:v>Next 48 hours</x:v>
      </x:c>
      <x:c r="C7" s="105" t="str">
        <x:v>Send INV03–INV05</x:v>
      </x:c>
      <x:c r="D7" s="105" t="str">
        <x:v>Titan, Inuka, Gemba; use researched opener and actual published route.</x:v>
      </x:c>
      <x:c r="E7" s="105" t="str">
        <x:v>60 min</x:v>
      </x:c>
      <x:c r="F7" s="105" t="str">
        <x:v>Not started</x:v>
      </x:c>
      <x:c r="G7" s="109"/>
      <x:c r="H7" s="105" t="str">
        <x:v>Full pitch now; no artificial paid-pilot prerequisite.</x:v>
      </x:c>
      <x:c r="I7" s="105" t="str">
        <x:v>Investor Targets</x:v>
      </x:c>
    </x:row>
    <x:row r="8" ht="51" customHeight="1">
      <x:c r="A8" s="105" t="str">
        <x:v>3</x:v>
      </x:c>
      <x:c r="B8" s="105" t="str">
        <x:v>This week</x:v>
      </x:c>
      <x:c r="C8" s="105" t="str">
        <x:v>Ask real mutual contacts for Better / Prime introductions</x:v>
      </x:c>
      <x:c r="D8" s="105" t="str">
        <x:v>Record introducer name in AA and intro requested status; do not invent an alumni relationship.</x:v>
      </x:c>
      <x:c r="E8" s="105" t="str">
        <x:v>30 min</x:v>
      </x:c>
      <x:c r="F8" s="105" t="str">
        <x:v>Not started</x:v>
      </x:c>
      <x:c r="G8" s="109"/>
      <x:c r="H8" s="105" t="str">
        <x:v>Wait up to 48 hours, then use appropriate official contact route.</x:v>
      </x:c>
      <x:c r="I8" s="105" t="str">
        <x:v>INV13 / INV16</x:v>
      </x:c>
    </x:row>
    <x:row r="9" ht="51" customHeight="1">
      <x:c r="A9" s="105" t="str">
        <x:v>4</x:v>
      </x:c>
      <x:c r="B9" s="105" t="str">
        <x:v>Before a call</x:v>
      </x:c>
      <x:c r="C9" s="105" t="str">
        <x:v>Record a real 3-minute product walkthrough</x:v>
      </x:c>
      <x:c r="D9" s="105" t="str">
        <x:v>Use current anvest.in pages and disclose dated evidence. Replay signed-out mobile screen.</x:v>
      </x:c>
      <x:c r="E9" s="105" t="str">
        <x:v>60 min</x:v>
      </x:c>
      <x:c r="F9" s="105" t="str">
        <x:v>Not started</x:v>
      </x:c>
      <x:c r="G9" s="109"/>
      <x:c r="H9" s="105" t="str">
        <x:v>Latest backlog closes four broker bugs; cold-run latency and virtual-cash tile remain.</x:v>
      </x:c>
      <x:c r="I9" s="105" t="str">
        <x:v>PRODUCT_DATA_BUG_BACKLOG_2026-10-20.md</x:v>
      </x:c>
    </x:row>
    <x:row r="10" ht="51" customHeight="1">
      <x:c r="A10" s="105" t="str">
        <x:v>5</x:v>
      </x:c>
      <x:c r="B10" s="105" t="str">
        <x:v>This week</x:v>
      </x:c>
      <x:c r="C10" s="105" t="str">
        <x:v>Prepare verified company and financing answers</x:v>
      </x:c>
      <x:c r="D10" s="105" t="str">
        <x:v>Cap table, legal entity, IP assignment/employment position, instrument advice, founder full-time from close.</x:v>
      </x:c>
      <x:c r="E10" s="105" t="str">
        <x:v>1–2 hours</x:v>
      </x:c>
      <x:c r="F10" s="105" t="str">
        <x:v>Not started</x:v>
      </x:c>
      <x:c r="G10" s="109"/>
      <x:c r="H10" s="105" t="str">
        <x:v>Existing tracker’s assumed family ownership is not verified legal evidence.</x:v>
      </x:c>
      <x:c r="I10" s="105" t="str">
        <x:v>Round Model</x:v>
      </x:c>
    </x:row>
    <x:row r="11" ht="51" customHeight="1">
      <x:c r="A11" s="105" t="str">
        <x:v>6</x:v>
      </x:c>
      <x:c r="B11" s="105" t="str">
        <x:v>23–29 Oct</x:v>
      </x:c>
      <x:c r="C11" s="105" t="str">
        <x:v>Work wave 2, two targeted pitches per workday</x:v>
      </x:c>
      <x:c r="D11" s="105" t="str">
        <x:v>India Quotient, Zeropearl, Whiteboard, z21, First Cheque, Rainmatter, SenseAI, Better, 3one4.</x:v>
      </x:c>
      <x:c r="E11" s="105" t="str">
        <x:v>30–60 min/day</x:v>
      </x:c>
      <x:c r="F11" s="105" t="str">
        <x:v>Not started</x:v>
      </x:c>
      <x:c r="G11" s="109"/>
      <x:c r="H11" s="105" t="str">
        <x:v>Check form access and pitch wording; preserve a submission confirmation.</x:v>
      </x:c>
      <x:c r="I11" s="105" t="str">
        <x:v>Investor Targets</x:v>
      </x:c>
    </x:row>
    <x:row r="12" ht="51" customHeight="1">
      <x:c r="A12" s="105" t="str">
        <x:v>7</x:v>
      </x:c>
      <x:c r="B12" s="105" t="str">
        <x:v>30 Oct–6 Nov</x:v>
      </x:c>
      <x:c r="C12" s="105" t="str">
        <x:v>Work wave 3 after reviewing objections</x:v>
      </x:c>
      <x:c r="D12" s="105" t="str">
        <x:v>Twelve additional funds; fit and round-size exceptions are explicit.</x:v>
      </x:c>
      <x:c r="E12" s="105" t="str">
        <x:v>30–60 min/day</x:v>
      </x:c>
      <x:c r="F12" s="105" t="str">
        <x:v>Not started</x:v>
      </x:c>
      <x:c r="G12" s="109"/>
      <x:c r="H12" s="105" t="str">
        <x:v>Refine clarity, not numbers. No response-rate promises.</x:v>
      </x:c>
      <x:c r="I12" s="105" t="str">
        <x:v>Investor Targets</x:v>
      </x:c>
    </x:row>
    <x:row r="13" ht="51" customHeight="1">
      <x:c r="A13" s="105" t="str">
        <x:v>8</x:v>
      </x:c>
      <x:c r="B13" s="105" t="str">
        <x:v>Parallel</x:v>
      </x:c>
      <x:c r="C13" s="105" t="str">
        <x:v>Interview 10 named professional prospects</x:v>
      </x:c>
      <x:c r="D13" s="105" t="str">
        <x:v>Sell the research workflow; record customer objections, actual use and paid willingness.</x:v>
      </x:c>
      <x:c r="E13" s="105" t="str">
        <x:v>Daily sales block</x:v>
      </x:c>
      <x:c r="F13" s="105" t="str">
        <x:v>Not started</x:v>
      </x:c>
      <x:c r="G13" s="109"/>
      <x:c r="H13" s="105" t="str">
        <x:v>Customer pipeline is separate from investor pipeline. No pilots claimed until started.</x:v>
      </x:c>
      <x:c r="I13" s="105" t="str">
        <x:v>GTM_PLAN.md</x:v>
      </x:c>
    </x:row>
    <x:row r="14" ht="51" customHeight="1">
      <x:c r="A14" s="105" t="str">
        <x:v>9</x:v>
      </x:c>
      <x:c r="B14" s="105" t="str">
        <x:v>Within 24 hours of meeting</x:v>
      </x:c>
      <x:c r="C14" s="105" t="str">
        <x:v>Send requested evidence and record next step</x:v>
      </x:c>
      <x:c r="D14" s="105" t="str">
        <x:v>Keep investor-specific questions, next owner and due date.</x:v>
      </x:c>
      <x:c r="E14" s="105" t="str">
        <x:v>15 min</x:v>
      </x:c>
      <x:c r="F14" s="105" t="str">
        <x:v>Not started</x:v>
      </x:c>
      <x:c r="G14" s="109"/>
      <x:c r="H14" s="105" t="str">
        <x:v>Diligence files on request; do not attach internal tracker.</x:v>
      </x:c>
      <x:c r="I14" s="105" t="str">
        <x:v>Anvest_Outreach_Emails.md</x:v>
      </x:c>
    </x:row>
    <x:row r="15" ht="51" customHeight="1">
      <x:c r="A15" s="105" t="str">
        <x:v>10</x:v>
      </x:c>
      <x:c r="B15" s="105" t="str">
        <x:v>Day 7 after send</x:v>
      </x:c>
      <x:c r="C15" s="105" t="str">
        <x:v>Follow up in same thread</x:v>
      </x:c>
      <x:c r="D15" s="105" t="str">
        <x:v>One concise message; Next follow-up column calculates from actual send/touch dates.</x:v>
      </x:c>
      <x:c r="E15" s="105" t="str">
        <x:v>10 min/day</x:v>
      </x:c>
      <x:c r="F15" s="105" t="str">
        <x:v>Not started</x:v>
      </x:c>
      <x:c r="G15" s="109"/>
      <x:c r="H15" s="105" t="str">
        <x:v>Do not create a second form submission to chase a reply.</x:v>
      </x:c>
      <x:c r="I15" s="105" t="str">
        <x:v>Investor Targets AB</x:v>
      </x:c>
    </x:row>
    <x:row r="16" ht="51" customHeight="1">
      <x:c r="A16" s="105" t="str">
        <x:v>11</x:v>
      </x:c>
      <x:c r="B16" s="105" t="str">
        <x:v>Day 14 after send</x:v>
      </x:c>
      <x:c r="C16" s="105" t="str">
        <x:v>Send final useful follow-up, then pause</x:v>
      </x:c>
      <x:c r="D16" s="105" t="str">
        <x:v>Two follow-ups maximum without a reply. Later updates only with real progress.</x:v>
      </x:c>
      <x:c r="E16" s="105" t="str">
        <x:v>10 min/day</x:v>
      </x:c>
      <x:c r="F16" s="105" t="str">
        <x:v>Not started</x:v>
      </x:c>
      <x:c r="G16" s="109"/>
      <x:c r="H16" s="105" t="str">
        <x:v>No fabricated urgency, allocation or other investor interest.</x:v>
      </x:c>
      <x:c r="I16" s="105" t="str">
        <x:v>Investor Targets Y / Z</x:v>
      </x:c>
    </x:row>
    <x:row r="17" ht="51" customHeight="1">
      <x:c r="A17" s="105" t="str">
        <x:v>12</x:v>
      </x:c>
      <x:c r="B17" s="105" t="str">
        <x:v>By 30 Oct</x:v>
      </x:c>
      <x:c r="C17" s="105" t="str">
        <x:v>Decide YC application separately</x:v>
      </x:c>
      <x:c r="D17" s="105" t="str">
        <x:v>Official Winter 2027 deadline 2 Nov 8pm PT = 3 Nov 9:30am IST; in-person SF Jan–Mar.</x:v>
      </x:c>
      <x:c r="E17" s="105" t="str">
        <x:v>Founder decision</x:v>
      </x:c>
      <x:c r="F17" s="105" t="str">
        <x:v>Not started</x:v>
      </x:c>
      <x:c r="G17" s="109"/>
      <x:c r="H17" s="105" t="str">
        <x:v>An application is optional; no assumed commitment to relocate.</x:v>
      </x:c>
      <x:c r="I17" s="105" t="str">
        <x:v>INV30</x:v>
      </x:c>
    </x:row>
    <x:row r="18" ht="51" customHeight="1">
      <x:c r="A18" s="105" t="str">
        <x:v>13</x:v>
      </x:c>
      <x:c r="B18" s="105" t="str">
        <x:v>Weekly</x:v>
      </x:c>
      <x:c r="C18" s="105" t="str">
        <x:v>Review replies and update qualified pipeline</x:v>
      </x:c>
      <x:c r="D18" s="105" t="str">
        <x:v>Count actual sends, meetings, diligence and commitments separately; update date-sensitive claims.</x:v>
      </x:c>
      <x:c r="E18" s="105" t="str">
        <x:v>30 min</x:v>
      </x:c>
      <x:c r="F18" s="105" t="str">
        <x:v>Not started</x:v>
      </x:c>
      <x:c r="G18" s="109"/>
      <x:c r="H18" s="105" t="str">
        <x:v>No send or commitment has been logged by this refresh.</x:v>
      </x:c>
      <x:c r="I18" s="105" t="str">
        <x:v>Metrics Gate</x:v>
      </x:c>
    </x:row>
    <x:row r="19" ht="51" customHeight="1">
      <x:c r="A19" s="105" t="str">
        <x:v>14</x:v>
      </x:c>
      <x:c r="B19" s="105" t="str">
        <x:v>Before using parked rows</x:v>
      </x:c>
      <x:c r="C19" s="105" t="str">
        <x:v>Confirm missing routes and mandates</x:v>
      </x:c>
      <x:c r="D19" s="105" t="str">
        <x:v>Axilor site errors, Atoms intake, Mumbai Angels transition, operator angels and broker partnership contacts.</x:v>
      </x:c>
      <x:c r="E19" s="105" t="str">
        <x:v>As relevant</x:v>
      </x:c>
      <x:c r="F19" s="105" t="str">
        <x:v>Not started</x:v>
      </x:c>
      <x:c r="G19" s="109"/>
      <x:c r="H19" s="105" t="str">
        <x:v>Blank email is deliberate. Do not infer addresses.</x:v>
      </x:c>
      <x:c r="I19" s="105" t="str">
        <x:v>CONTACT_RESEARCH_NOTES.md</x:v>
      </x:c>
    </x:row>
    <x:row r="20" ht="51" customHeight="1">
      <x:c r="A20" s="105" t="str">
        <x:v>15</x:v>
      </x:c>
      <x:c r="B20" s="105" t="str">
        <x:v>Before attaching PDFs</x:v>
      </x:c>
      <x:c r="C20" s="105" t="str">
        <x:v>Reconcile corpus counts across investor PDFs</x:v>
      </x:c>
      <x:c r="D20" s="105" t="str">
        <x:v>Latest product audit has 6,155,194 passages / 633,688 distinct doc_ids on VM, not 1.35M / 584K.</x:v>
      </x:c>
      <x:c r="E20" s="105" t="str">
        <x:v>Materials check</x:v>
      </x:c>
      <x:c r="F20" s="105" t="str">
        <x:v>Not started</x:v>
      </x:c>
      <x:c r="G20" s="109"/>
      <x:c r="H20" s="105" t="str">
        <x:v>Confirm corrected exported PDF before attachment. Intro requests can start now.</x:v>
      </x:c>
      <x:c r="I20" s="105" t="str">
        <x:v>CONTACT_RESEARCH_NOTES.md</x:v>
      </x:c>
    </x:row>
    <x:row r="21" ht="58" customHeight="1">
      <x:c r="A21"/>
      <x:c r="B21"/>
      <x:c r="C21"/>
      <x:c r="D21"/>
      <x:c r="E21"/>
      <x:c r="F21"/>
      <x:c r="G21"/>
      <x:c r="H21"/>
      <x:c r="I21"/>
    </x:row>
    <x:row r="22" ht="58" customHeight="1">
      <x:c r="A22"/>
      <x:c r="B22"/>
      <x:c r="C22"/>
      <x:c r="D22"/>
      <x:c r="E22"/>
      <x:c r="F22"/>
      <x:c r="G22"/>
      <x:c r="H22"/>
      <x:c r="I22"/>
    </x:row>
    <x:row r="23" ht="58" customHeight="1">
      <x:c r="A23"/>
      <x:c r="B23"/>
      <x:c r="C23"/>
      <x:c r="D23"/>
      <x:c r="E23"/>
      <x:c r="F23"/>
      <x:c r="G23"/>
      <x:c r="H23"/>
      <x:c r="I23"/>
    </x:row>
    <x:row r="24" ht="58" customHeight="1">
      <x:c r="A24"/>
      <x:c r="B24"/>
      <x:c r="C24"/>
      <x:c r="D24"/>
      <x:c r="E24"/>
      <x:c r="F24"/>
      <x:c r="G24"/>
      <x:c r="H24"/>
      <x:c r="I24"/>
    </x:row>
    <x:row r="25" ht="58" customHeight="1">
      <x:c r="A25"/>
      <x:c r="B25"/>
      <x:c r="C25"/>
      <x:c r="D25"/>
      <x:c r="E25"/>
      <x:c r="F25"/>
      <x:c r="G25"/>
      <x:c r="H25"/>
      <x:c r="I25"/>
    </x:row>
    <x:row r="26" ht="58" customHeight="1">
      <x:c r="A26"/>
      <x:c r="B26"/>
      <x:c r="C26"/>
      <x:c r="D26"/>
      <x:c r="E26"/>
      <x:c r="F26"/>
      <x:c r="G26"/>
      <x:c r="H26"/>
      <x:c r="I26"/>
    </x:row>
    <x:row r="27" ht="58" customHeight="1">
      <x:c r="A27"/>
      <x:c r="B27"/>
      <x:c r="C27"/>
      <x:c r="D27"/>
      <x:c r="E27"/>
      <x:c r="F27"/>
      <x:c r="G27"/>
      <x:c r="H27"/>
      <x:c r="I27"/>
    </x:row>
    <x:row r="28" ht="58" customHeight="1">
      <x:c r="A28"/>
      <x:c r="B28"/>
      <x:c r="C28"/>
      <x:c r="D28"/>
      <x:c r="E28"/>
      <x:c r="F28"/>
      <x:c r="G28"/>
      <x:c r="H28"/>
      <x:c r="I28"/>
    </x:row>
    <x:row r="29" ht="58" customHeight="1">
      <x:c r="A29"/>
      <x:c r="B29"/>
      <x:c r="C29"/>
      <x:c r="D29"/>
      <x:c r="E29"/>
      <x:c r="F29"/>
      <x:c r="G29"/>
      <x:c r="H29"/>
      <x:c r="I29"/>
    </x:row>
    <x:row r="30" ht="58" customHeight="1">
      <x:c r="A30"/>
      <x:c r="B30"/>
      <x:c r="C30"/>
      <x:c r="D30"/>
      <x:c r="E30"/>
      <x:c r="F30"/>
      <x:c r="G30"/>
      <x:c r="H30"/>
      <x:c r="I30"/>
    </x:row>
    <x:row r="31" ht="58" customHeight="1">
      <x:c r="A31"/>
      <x:c r="B31"/>
      <x:c r="C31"/>
      <x:c r="D31"/>
      <x:c r="E31"/>
      <x:c r="F31"/>
      <x:c r="G31"/>
      <x:c r="H31"/>
      <x:c r="I31"/>
    </x:row>
    <x:row r="32" ht="58" customHeight="1">
      <x:c r="A32"/>
      <x:c r="B32"/>
      <x:c r="C32"/>
      <x:c r="D32"/>
      <x:c r="E32"/>
      <x:c r="F32"/>
      <x:c r="G32"/>
      <x:c r="H32"/>
      <x:c r="I32"/>
    </x:row>
    <x:row r="33" ht="58" customHeight="1">
      <x:c r="A33"/>
      <x:c r="B33"/>
      <x:c r="C33"/>
      <x:c r="D33"/>
      <x:c r="E33"/>
      <x:c r="F33"/>
      <x:c r="G33"/>
      <x:c r="H33"/>
      <x:c r="I33"/>
    </x:row>
    <x:row r="34" ht="58" customHeight="1">
      <x:c r="A34"/>
      <x:c r="B34"/>
      <x:c r="C34"/>
      <x:c r="D34"/>
      <x:c r="E34"/>
      <x:c r="F34"/>
      <x:c r="G34"/>
      <x:c r="H34"/>
      <x:c r="I34"/>
    </x:row>
    <x:row r="35" ht="58" customHeight="1">
      <x:c r="A35"/>
      <x:c r="B35"/>
      <x:c r="C35"/>
      <x:c r="D35"/>
      <x:c r="E35"/>
      <x:c r="F35"/>
      <x:c r="G35"/>
      <x:c r="H35"/>
      <x:c r="I35"/>
    </x:row>
    <x:row r="36" ht="58" customHeight="1">
      <x:c r="A36"/>
      <x:c r="B36"/>
      <x:c r="C36"/>
      <x:c r="D36"/>
      <x:c r="E36"/>
      <x:c r="F36"/>
      <x:c r="G36"/>
      <x:c r="H36"/>
      <x:c r="I36"/>
    </x:row>
    <x:row r="37" ht="58" customHeight="1">
      <x:c r="A37"/>
      <x:c r="B37"/>
      <x:c r="C37"/>
      <x:c r="D37"/>
      <x:c r="E37"/>
      <x:c r="F37"/>
      <x:c r="G37"/>
      <x:c r="H37"/>
      <x:c r="I37"/>
    </x:row>
    <x:row r="38" ht="58" customHeight="1">
      <x:c r="A38"/>
      <x:c r="B38"/>
      <x:c r="C38"/>
      <x:c r="D38"/>
      <x:c r="E38"/>
      <x:c r="F38"/>
      <x:c r="G38"/>
      <x:c r="H38"/>
      <x:c r="I38"/>
    </x:row>
    <x:row r="39" ht="58" customHeight="1">
      <x:c r="A39"/>
      <x:c r="B39"/>
      <x:c r="C39"/>
      <x:c r="D39"/>
      <x:c r="E39"/>
      <x:c r="F39"/>
      <x:c r="G39"/>
      <x:c r="H39"/>
      <x:c r="I39"/>
    </x:row>
    <x:row r="40" ht="34" customHeight="1">
      <x:c r="A40"/>
      <x:c r="B40"/>
      <x:c r="C40"/>
      <x:c r="D40"/>
      <x:c r="E40"/>
      <x:c r="F40"/>
      <x:c r="G40"/>
      <x:c r="H40"/>
      <x:c r="I40"/>
    </x:row>
    <x:row r="41" ht="34" customHeight="1">
      <x:c r="A41"/>
      <x:c r="B41"/>
      <x:c r="C41"/>
      <x:c r="D41"/>
      <x:c r="E41"/>
      <x:c r="F41"/>
      <x:c r="G41"/>
      <x:c r="H41"/>
      <x:c r="I41"/>
    </x:row>
    <x:row r="42" ht="34" customHeight="1">
      <x:c r="A42"/>
      <x:c r="B42"/>
      <x:c r="C42"/>
      <x:c r="D42"/>
      <x:c r="E42"/>
      <x:c r="F42"/>
      <x:c r="G42"/>
      <x:c r="H42"/>
      <x:c r="I42"/>
    </x:row>
    <x:row r="43" ht="34" customHeight="1">
      <x:c r="A43"/>
      <x:c r="B43"/>
      <x:c r="C43"/>
      <x:c r="D43"/>
      <x:c r="E43"/>
      <x:c r="F43"/>
      <x:c r="G43"/>
      <x:c r="H43"/>
      <x:c r="I43"/>
    </x:row>
    <x:row r="44" ht="48" customHeight="1">
      <x:c r="A44"/>
      <x:c r="B44"/>
      <x:c r="C44"/>
      <x:c r="D44"/>
      <x:c r="E44"/>
      <x:c r="F44"/>
      <x:c r="G44"/>
      <x:c r="H44"/>
      <x:c r="I44"/>
    </x:row>
    <x:row r="45" ht="48" customHeight="1">
      <x:c r="A45"/>
      <x:c r="B45"/>
      <x:c r="C45"/>
      <x:c r="D45"/>
      <x:c r="E45"/>
      <x:c r="F45"/>
      <x:c r="G45"/>
      <x:c r="H45"/>
      <x:c r="I45"/>
    </x:row>
    <x:row r="46" ht="30" customHeight="1">
      <x:c r="A46"/>
      <x:c r="B46"/>
      <x:c r="C46"/>
      <x:c r="D46"/>
      <x:c r="E46"/>
      <x:c r="F46"/>
      <x:c r="G46"/>
      <x:c r="H46"/>
      <x:c r="I46"/>
    </x:row>
    <x:row r="47" ht="30" customHeight="1">
      <x:c r="A47"/>
      <x:c r="B47"/>
      <x:c r="C47"/>
      <x:c r="D47"/>
      <x:c r="E47"/>
      <x:c r="F47"/>
      <x:c r="G47"/>
      <x:c r="H47"/>
      <x:c r="I47"/>
    </x:row>
    <x:row r="48" ht="30" customHeight="1">
      <x:c r="A48"/>
      <x:c r="B48"/>
      <x:c r="C48"/>
      <x:c r="D48"/>
      <x:c r="E48"/>
      <x:c r="F48"/>
      <x:c r="G48"/>
      <x:c r="H48"/>
      <x:c r="I48"/>
    </x:row>
    <x:row r="49" ht="30" customHeight="1">
      <x:c r="A49"/>
      <x:c r="B49"/>
      <x:c r="C49"/>
      <x:c r="D49"/>
      <x:c r="E49"/>
      <x:c r="F49"/>
      <x:c r="G49"/>
      <x:c r="H49"/>
      <x:c r="I49"/>
    </x:row>
    <x:row r="50" ht="30" customHeight="1">
      <x:c r="A50"/>
      <x:c r="B50"/>
      <x:c r="C50"/>
      <x:c r="D50"/>
      <x:c r="E50"/>
      <x:c r="F50"/>
      <x:c r="G50"/>
      <x:c r="H50"/>
      <x:c r="I50"/>
    </x:row>
    <x:row r="51" ht="30" customHeight="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 ht="34" customHeight="1">
      <x:c r="A54"/>
      <x:c r="B54"/>
      <x:c r="C54"/>
      <x:c r="D54"/>
      <x:c r="E54"/>
      <x:c r="F54"/>
      <x:c r="G54"/>
      <x:c r="H54"/>
      <x:c r="I54"/>
    </x:row>
    <x:row r="55">
      <x:c r="C55"/>
      <x:c r="E55"/>
    </x:row>
    <x:row r="56" ht="26" customHeight="1">
      <x:c r="C56"/>
      <x:c r="E56"/>
    </x:row>
    <x:row r="57" ht="26" customHeight="1">
      <x:c r="C57"/>
      <x:c r="E57"/>
    </x:row>
    <x:row r="58" ht="30" customHeight="1">
      <x:c r="A58"/>
      <x:c r="C58"/>
      <x:c r="E58"/>
    </x:row>
    <x:row r="59" ht="26" customHeight="1">
      <x:c r="A59"/>
      <x:c r="C59"/>
    </x:row>
    <x:row r="60" ht="26" customHeight="1">
      <x:c r="A60"/>
      <x:c r="C60"/>
    </x:row>
    <x:row r="61" ht="26" customHeight="1">
      <x:c r="A61"/>
      <x:c r="C61"/>
    </x:row>
    <x:row r="62" ht="26" customHeight="1">
      <x:c r="A62"/>
      <x:c r="C62"/>
    </x:row>
    <x:row r="63" ht="26" customHeight="1">
      <x:c r="A63"/>
      <x:c r="C63"/>
    </x:row>
    <x:row r="64" ht="26" customHeight="1">
      <x:c r="A64"/>
      <x:c r="C64"/>
    </x:row>
    <x:row r="65">
      <x:c r="A65"/>
      <x:c r="C65"/>
    </x:row>
    <x:row r="66">
      <x:c r="A66"/>
      <x:c r="C66"/>
    </x:row>
    <x:row r="67" ht="30" customHeight="1">
      <x:c r="A67"/>
      <x:c r="C67"/>
    </x:row>
    <x:row r="69">
      <x:c r="A69"/>
    </x:row>
    <x:row r="70">
      <x:c r="A70"/>
    </x:row>
  </x:sheetData>
  <x:mergeCells>
    <x:mergeCell ref="A1:I1"/>
    <x:mergeCell ref="A2:I2"/>
  </x:mergeCells>
  <x:dataValidations count="1">
    <x:dataValidation type="list" allowBlank="1" showDropDown="0" sqref="F6:F20">
      <x:formula1>"Not started,In progress,Done,Blocked"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baseColWidth="8" defaultRowHeight="15"/>
  <x:cols>
    <x:col min="1" max="1" width="23.889999389648438" hidden="0" customWidth="1"/>
    <x:col min="2" max="2" width="32.220001220703125" hidden="0" customWidth="1"/>
    <x:col min="3" max="3" width="35.560001373291016" hidden="0" customWidth="1"/>
    <x:col min="4" max="4" width="27.219999313354492" hidden="0" customWidth="1"/>
    <x:col min="5" max="5" width="20.559999465942383" hidden="0" customWidth="1"/>
    <x:col min="6" max="6" width="54.439998626708984" hidden="0" customWidth="1"/>
  </x:cols>
  <x:sheetData>
    <x:row r="1" ht="28.5" customHeight="1">
      <x:c r="A1" s="153" t="str">
        <x:v>ANVEST — EVIDENCE &amp; READINESS</x:v>
      </x:c>
      <x:c r="B1" s="153"/>
      <x:c r="C1" s="153"/>
      <x:c r="D1" s="153"/>
      <x:c r="E1" s="153"/>
      <x:c r="F1" s="153"/>
    </x:row>
    <x:row r="2" ht="31.5" customHeight="1">
      <x:c r="A2" s="105" t="str">
        <x:v>20 Oct 2026 | Early-stage outreach can start with honest disclosures. These are evidence states, not invented MAU/revenue hurdles.</x:v>
      </x:c>
      <x:c r="B2" s="105"/>
      <x:c r="C2" s="105"/>
      <x:c r="D2" s="105"/>
      <x:c r="E2" s="105"/>
      <x:c r="F2" s="105"/>
    </x:row>
    <x:row r="3" ht="11.25" customHeight="1">
      <x:c r="A3" s="105"/>
      <x:c r="B3" s="105"/>
      <x:c r="C3" s="105"/>
      <x:c r="D3" s="105"/>
      <x:c r="E3" s="105"/>
      <x:c r="F3" s="105"/>
    </x:row>
    <x:row r="4" ht="11.25" customHeight="1">
      <x:c r="A4" s="105"/>
      <x:c r="B4" s="105"/>
      <x:c r="C4" s="105"/>
      <x:c r="D4" s="105"/>
      <x:c r="E4" s="105"/>
      <x:c r="F4" s="105"/>
    </x:row>
    <x:row r="5" ht="30" customHeight="1">
      <x:c r="A5" s="154" t="str">
        <x:v>Item</x:v>
      </x:c>
      <x:c r="B5" s="154" t="str">
        <x:v>Evidence date / basis</x:v>
      </x:c>
      <x:c r="C5" s="154" t="str">
        <x:v>What to communicate / measure</x:v>
      </x:c>
      <x:c r="D5" s="154" t="str">
        <x:v>Verified value / current state</x:v>
      </x:c>
      <x:c r="E5" s="154" t="str">
        <x:v>Readiness</x:v>
      </x:c>
      <x:c r="F5" s="154" t="str">
        <x:v>Definition / limitation</x:v>
      </x:c>
    </x:row>
    <x:row r="6" ht="51" customHeight="1">
      <x:c r="A6" s="105" t="str">
        <x:v>Contact provenance</x:v>
      </x:c>
      <x:c r="B6" s="105" t="str">
        <x:v>Published first-party sources checked 20 Oct</x:v>
      </x:c>
      <x:c r="C6" s="105" t="str">
        <x:v>Suitable email or official pitch/social route</x:v>
      </x:c>
      <x:c r="D6" s="105" t="str">
        <x:v>Source links in Investor Targets / Sources</x:v>
      </x:c>
      <x:c r="E6" s="105" t="str">
        <x:v>Ready for researched routes</x:v>
      </x:c>
      <x:c r="F6" s="105" t="str">
        <x:v>Publication verified; inbox deliverability and form submission are untested.</x:v>
      </x:c>
    </x:row>
    <x:row r="7" ht="51" customHeight="1">
      <x:c r="A7" s="105" t="str">
        <x:v>Headline round</x:v>
      </x:c>
      <x:c r="B7" s="105" t="str">
        <x:v>Proposed, not raised</x:v>
      </x:c>
      <x:c r="C7" s="105" t="str">
        <x:v>$500K target; $400K first close; $700K room</x:v>
      </x:c>
      <x:c r="D7" s="120" t="n">
        <x:v>500000</x:v>
      </x:c>
      <x:c r="E7" s="105" t="str">
        <x:v>Ready</x:v>
      </x:c>
      <x:c r="F7" s="105" t="str">
        <x:v>$3.5M post-money cap proposed; exact instrument subject to counsel.</x:v>
      </x:c>
    </x:row>
    <x:row r="8" ht="51" customHeight="1">
      <x:c r="A8" s="105" t="str">
        <x:v>Registered accounts</x:v>
      </x:c>
      <x:c r="B8" s="105" t="str">
        <x:v>Production aggregate, 20 Oct 12:51 IST</x:v>
      </x:c>
      <x:c r="C8" s="105" t="str">
        <x:v>Disclose scope; not active users</x:v>
      </x:c>
      <x:c r="D8" s="123" t="n">
        <x:v>31</x:v>
      </x:c>
      <x:c r="E8" s="105" t="str">
        <x:v>Scoped evidence</x:v>
      </x:c>
      <x:c r="F8" s="105" t="str">
        <x:v>5 internal; 26 external under documented account filter.</x:v>
      </x:c>
    </x:row>
    <x:row r="9" ht="51" customHeight="1">
      <x:c r="A9" s="105" t="str">
        <x:v>Logged research queries</x:v>
      </x:c>
      <x:c r="B9" s="105" t="str">
        <x:v>Production aggregate, same snapshot</x:v>
      </x:c>
      <x:c r="C9" s="105" t="str">
        <x:v>Disclose scope; not accuracy</x:v>
      </x:c>
      <x:c r="D9" s="123" t="n">
        <x:v>418</x:v>
      </x:c>
      <x:c r="E9" s="105" t="str">
        <x:v>Scoped evidence</x:v>
      </x:c>
      <x:c r="F9" s="105" t="str">
        <x:v>Across 16 accounts, includes founder/testing.</x:v>
      </x:c>
    </x:row>
    <x:row r="10" ht="51" customHeight="1">
      <x:c r="A10" s="105" t="str">
        <x:v>Saved backtest records</x:v>
      </x:c>
      <x:c r="B10" s="105" t="str">
        <x:v>Production aggregate, same snapshot</x:v>
      </x:c>
      <x:c r="C10" s="105" t="str">
        <x:v>Disclose scope; not successful runs</x:v>
      </x:c>
      <x:c r="D10" s="123" t="n">
        <x:v>238</x:v>
      </x:c>
      <x:c r="E10" s="105" t="str">
        <x:v>Scoped evidence</x:v>
      </x:c>
      <x:c r="F10" s="105" t="str">
        <x:v>Not a count of distinct external users or completed backtests.</x:v>
      </x:c>
    </x:row>
    <x:row r="11" ht="51" customHeight="1">
      <x:c r="A11" s="105" t="str">
        <x:v>Saved screens</x:v>
      </x:c>
      <x:c r="B11" s="105" t="str">
        <x:v>Production aggregate, same snapshot</x:v>
      </x:c>
      <x:c r="C11" s="105" t="str">
        <x:v>Disclose scope</x:v>
      </x:c>
      <x:c r="D11" s="123" t="n">
        <x:v>2</x:v>
      </x:c>
      <x:c r="E11" s="105" t="str">
        <x:v>Scoped evidence</x:v>
      </x:c>
      <x:c r="F11" s="105" t="str">
        <x:v>Includes founder/testing; not screen executions.</x:v>
      </x:c>
    </x:row>
    <x:row r="12" ht="51" customHeight="1">
      <x:c r="A12" s="105" t="str">
        <x:v>MRR / paid customers</x:v>
      </x:c>
      <x:c r="B12" s="105" t="str">
        <x:v>Documented pre-revenue position</x:v>
      </x:c>
      <x:c r="C12" s="105" t="str">
        <x:v>Measure first paid demand</x:v>
      </x:c>
      <x:c r="D12" s="123" t="n">
        <x:v>0</x:v>
      </x:c>
      <x:c r="E12" s="105" t="str">
        <x:v>Early stage</x:v>
      </x:c>
      <x:c r="F12" s="105" t="str">
        <x:v>Zero MRR is disclosed. Paid customer count not independently queried here.</x:v>
      </x:c>
    </x:row>
    <x:row r="13" ht="51" customHeight="1">
      <x:c r="A13" s="105" t="str">
        <x:v>Extraction audit</x:v>
      </x:c>
      <x:c r="B13" s="105" t="str">
        <x:v>20 Oct source audit</x:v>
      </x:c>
      <x:c r="C13" s="105" t="str">
        <x:v>Keep line-item scope explicit</x:v>
      </x:c>
      <x:c r="D13" s="105" t="str">
        <x:v>50 / 50 filings</x:v>
      </x:c>
      <x:c r="E13" s="105" t="str">
        <x:v>Scoped evidence</x:v>
      </x:c>
      <x:c r="F13" s="105" t="str">
        <x:v>Revenue/PAT extraction against consolidated Q2 FY27 NSE XBRL; not 50 AI answers.</x:v>
      </x:c>
    </x:row>
    <x:row r="14" ht="51" customHeight="1">
      <x:c r="A14" s="105" t="str">
        <x:v>Live answer evaluation</x:v>
      </x:c>
      <x:c r="B14" s="105" t="str">
        <x:v>19 Oct spot-check</x:v>
      </x:c>
      <x:c r="C14" s="105" t="str">
        <x:v>Broader independent answer evaluation</x:v>
      </x:c>
      <x:c r="D14" s="105" t="str">
        <x:v>4 questions: 3 answers; 1 decline</x:v>
      </x:c>
      <x:c r="E14" s="105" t="str">
        <x:v>Incomplete benchmark</x:v>
      </x:c>
      <x:c r="F14" s="105" t="str">
        <x:v>Do not certify a broad answer-accuracy rate.</x:v>
      </x:c>
    </x:row>
    <x:row r="15" ht="51" customHeight="1">
      <x:c r="A15" s="105" t="str">
        <x:v>External accounts with workflow</x:v>
      </x:c>
      <x:c r="B15" s="105" t="str">
        <x:v>20 Oct; account filter + workflow-table union</x:v>
      </x:c>
      <x:c r="C15" s="105" t="str">
        <x:v>At least one recorded workflow row</x:v>
      </x:c>
      <x:c r="D15" s="105" t="n">
        <x:v>15</x:v>
      </x:c>
      <x:c r="E15" s="105" t="str">
        <x:v>Scoped evidence</x:v>
      </x:c>
      <x:c r="F15" s="105" t="str">
        <x:v>15 of 26 external accounts have recorded workflow activity. Not all attempts/success rates are recorded.</x:v>
      </x:c>
    </x:row>
    <x:row r="16" ht="51" customHeight="1">
      <x:c r="A16" s="105" t="str">
        <x:v>External activity in 2+ weeks</x:v>
      </x:c>
      <x:c r="B16" s="105" t="str">
        <x:v>20 Oct; distinct IST calendar weeks</x:v>
      </x:c>
      <x:c r="C16" s="105" t="str">
        <x:v>Historical repeat activity, not cohort retention</x:v>
      </x:c>
      <x:c r="D16" s="105" t="n">
        <x:v>5</x:v>
      </x:c>
      <x:c r="E16" s="105" t="str">
        <x:v>Scoped evidence</x:v>
      </x:c>
      <x:c r="F16" s="105" t="str">
        <x:v>5 external accounts active in at least 2 IST weeks. Not D7/D30 or consecutive-week retention.</x:v>
      </x:c>
    </x:row>
    <x:row r="17" ht="51" customHeight="1">
      <x:c r="A17" s="105" t="str">
        <x:v>External research use</x:v>
      </x:c>
      <x:c r="B17" s="105" t="str">
        <x:v>20 Oct; research log attribution</x:v>
      </x:c>
      <x:c r="C17" s="105" t="str">
        <x:v>Queries / users / repeat users</x:v>
      </x:c>
      <x:c r="D17" s="105" t="str">
        <x:v>268 / 13 / 7</x:v>
      </x:c>
      <x:c r="E17" s="105" t="str">
        <x:v>Scoped evidence</x:v>
      </x:c>
      <x:c r="F17" s="105" t="str">
        <x:v>Repeat = at least 2 recorded research rows ever; not a retention rate.</x:v>
      </x:c>
    </x:row>
    <x:row r="18" ht="51" customHeight="1">
      <x:c r="A18" s="105" t="str">
        <x:v>Cohort retention / task success</x:v>
      </x:c>
      <x:c r="B18" s="105" t="str">
        <x:v>No attempt/failure denominator</x:v>
      </x:c>
      <x:c r="C18" s="105" t="str">
        <x:v>Measure complete external cohorts</x:v>
      </x:c>
      <x:c r="D18" s="105"/>
      <x:c r="E18" s="105" t="str">
        <x:v>Unknown</x:v>
      </x:c>
      <x:c r="F18" s="105" t="str">
        <x:v>238 stored backtests are marked COMPLETED; failed requests are not stored, and 158 lack a strategy owner.</x:v>
      </x:c>
    </x:row>
    <x:row r="19" ht="51" customHeight="1">
      <x:c r="A19" s="105" t="str">
        <x:v>Cost per answered task</x:v>
      </x:c>
      <x:c r="B19" s="105" t="str">
        <x:v>No fresh production cohort supplied</x:v>
      </x:c>
      <x:c r="C19" s="105" t="str">
        <x:v>Measure actual cost and helpfulness</x:v>
      </x:c>
      <x:c r="D19" s="105"/>
      <x:c r="E19" s="105" t="str">
        <x:v>Unknown</x:v>
      </x:c>
      <x:c r="F19" s="105" t="str">
        <x:v>Operating-model costs are assumptions.</x:v>
      </x:c>
    </x:row>
    <x:row r="20" ht="51" customHeight="1">
      <x:c r="A20" s="105" t="str">
        <x:v>Safe live-demo route</x:v>
      </x:c>
      <x:c r="B20" s="105" t="str">
        <x:v>20 Oct dated production replay</x:v>
      </x:c>
      <x:c r="C20" s="105" t="str">
        <x:v>Recheck before each call</x:v>
      </x:c>
      <x:c r="D20" s="105" t="str">
        <x:v>Four broker bugs replayed / closed</x:v>
      </x:c>
      <x:c r="E20" s="105" t="str">
        <x:v>Recheck on call day</x:v>
      </x:c>
      <x:c r="F20" s="105" t="str">
        <x:v>Backlog records current replay evidence. Cold first-run latency and cash-added tile remain; do not certify every journey.</x:v>
      </x:c>
    </x:row>
    <x:row r="21" ht="51" customHeight="1">
      <x:c r="A21" s="105" t="str">
        <x:v>Corpus count in PDFs</x:v>
      </x:c>
      <x:c r="B21" s="105" t="str">
        <x:v>20 Oct VM source recount</x:v>
      </x:c>
      <x:c r="C21" s="105" t="str">
        <x:v>6,155,194 passages / 633,688 distinct doc_ids</x:v>
      </x:c>
      <x:c r="D21" s="105" t="str">
        <x:v>Prior material figure is stale</x:v>
      </x:c>
      <x:c r="E21" s="105" t="str">
        <x:v>Check before PDF send</x:v>
      </x:c>
      <x:c r="F21" s="105" t="str">
        <x:v>Reconcile every attached investor PDF against latest source evidence. Contact refresh preserves concurrent deck changes.</x:v>
      </x:c>
    </x:row>
    <x:row r="22" ht="51" customHeight="1">
      <x:c r="A22" s="105" t="str">
        <x:v>Company / IP / cap table</x:v>
      </x:c>
      <x:c r="B22" s="105" t="str">
        <x:v>Records not inspected in this refresh</x:v>
      </x:c>
      <x:c r="C22" s="105" t="str">
        <x:v>Founder provides verified documents</x:v>
      </x:c>
      <x:c r="D22" s="105"/>
      <x:c r="E22" s="105" t="str">
        <x:v>Needs documents</x:v>
      </x:c>
      <x:c r="F22" s="105" t="str">
        <x:v>Do not quote family ownership or signed IP assignment without actual documents.</x:v>
      </x:c>
    </x:row>
    <x:row r="23" ht="51" customHeight="1">
      <x:c r="A23" s="105" t="str">
        <x:v>Outreach started</x:v>
      </x:c>
      <x:c r="B23" s="105" t="str">
        <x:v>No send actions authorized or performed</x:v>
      </x:c>
      <x:c r="C23" s="105" t="str">
        <x:v>Log real sends and meetings</x:v>
      </x:c>
      <x:c r="D23" s="105"/>
      <x:c r="E23" s="105" t="str">
        <x:v>Not started</x:v>
      </x:c>
      <x:c r="F23" s="105" t="str">
        <x:v>Sending dates stay blank until user actually sends.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5" topLeftCell="C6" activePane="bottomRight" state="frozen"/>
    </x:sheetView>
  </x:sheetViews>
  <x:sheetFormatPr baseColWidth="8" defaultRowHeight="15"/>
  <x:cols>
    <x:col min="1" max="1" width="10.5600004196167" hidden="0" customWidth="1"/>
    <x:col min="2" max="2" width="25" hidden="0" customWidth="1"/>
    <x:col min="3" max="3" width="15" hidden="0" customWidth="1"/>
    <x:col min="4" max="4" width="24.440000534057617" hidden="0" customWidth="1"/>
    <x:col min="5" max="5" width="17.780000686645508" hidden="0" customWidth="1"/>
    <x:col min="6" max="6" width="17.219999313354492" hidden="0" customWidth="1"/>
    <x:col min="7" max="7" width="33.33000183105469" hidden="0" customWidth="1"/>
    <x:col min="8" max="8" width="41.11000061035156" hidden="0" customWidth="1"/>
    <x:col min="9" max="9" width="24.440000534057617" hidden="0" customWidth="1"/>
    <x:col min="10" max="10" width="10.5600004196167" hidden="0" customWidth="1"/>
    <x:col min="11" max="11" width="15" hidden="0" customWidth="1"/>
    <x:col min="12" max="12" width="10.5600004196167" hidden="0" customWidth="1"/>
    <x:col min="13" max="13" width="38.88999938964844" hidden="0" customWidth="1"/>
    <x:col min="14" max="14" width="16.110000610351562" hidden="0" customWidth="1"/>
    <x:col min="15" max="15" width="26.670000076293945" hidden="0" customWidth="1"/>
    <x:col min="16" max="16" width="27.780000686645508" hidden="0" customWidth="1"/>
    <x:col min="17" max="17" width="28.329999923706055" hidden="0" customWidth="1"/>
    <x:col min="18" max="18" width="29.440000534057617" hidden="0" customWidth="1"/>
    <x:col min="19" max="19" width="34.439998626708984" hidden="0" customWidth="1"/>
    <x:col min="20" max="20" width="34.439998626708984" hidden="0" customWidth="1"/>
    <x:col min="21" max="21" width="13.890000343322754" hidden="0" customWidth="1"/>
    <x:col min="22" max="22" width="42.220001220703125" hidden="0" customWidth="1"/>
    <x:col min="23" max="23" width="14.4399995803833" hidden="0" customWidth="1"/>
    <x:col min="24" max="24" width="14.4399995803833" hidden="0" customWidth="1"/>
    <x:col min="25" max="25" width="12.220000267028809" hidden="0" customWidth="1"/>
    <x:col min="26" max="26" width="25.559999465942383" hidden="0" customWidth="1"/>
    <x:col min="27" max="27" width="20" hidden="0" customWidth="1"/>
    <x:col min="28" max="28" width="15.5600004196167" hidden="0" customWidth="1"/>
    <x:col min="29" max="29" width="10.5600004196167" hidden="0" customWidth="1"/>
  </x:cols>
  <x:sheetData>
    <x:row r="1" ht="28.5" customHeight="1">
      <x:c r="A1" s="153" t="str">
        <x:v>ANVEST — VERIFIED CONTACTS &amp; OUTREACH PIPELINE</x:v>
      </x:c>
      <x:c r="B1" s="153"/>
      <x:c r="C1" s="153"/>
      <x:c r="D1" s="153"/>
      <x:c r="E1" s="153"/>
      <x:c r="F1" s="153"/>
      <x:c r="G1" s="153"/>
      <x:c r="H1" s="153"/>
      <x:c r="I1" s="153"/>
      <x:c r="J1" s="153"/>
      <x:c r="K1" s="153"/>
      <x:c r="L1" s="153"/>
      <x:c r="M1" s="153"/>
      <x:c r="N1" s="153"/>
      <x:c r="O1" s="153"/>
      <x:c r="P1" s="153"/>
      <x:c r="Q1" s="153"/>
      <x:c r="R1" s="153"/>
      <x:c r="S1" s="153"/>
      <x:c r="T1" s="153"/>
      <x:c r="U1" s="153"/>
      <x:c r="V1" s="153"/>
      <x:c r="W1" s="153"/>
      <x:c r="X1" s="153"/>
      <x:c r="Y1" s="153"/>
      <x:c r="Z1" s="153"/>
      <x:c r="AA1" s="153"/>
      <x:c r="AB1" s="153"/>
      <x:c r="AC1" s="153"/>
    </x:row>
    <x:row r="2" ht="31.5" customHeight="1">
      <x:c r="A2" s="105" t="str">
        <x:v>Reviewed 20 Oct 2026 | $500K target; $400K first close; room $700K | Dates are proposed, not sent. Published contacts only; delivery not tested.</x:v>
      </x:c>
      <x:c r="B2" s="105"/>
      <x:c r="C2" s="105"/>
      <x:c r="D2" s="105"/>
      <x:c r="E2" s="105"/>
      <x:c r="F2" s="105"/>
      <x:c r="G2" s="105"/>
      <x:c r="H2" s="105"/>
      <x:c r="I2" s="105"/>
      <x:c r="J2" s="105"/>
      <x:c r="K2" s="105"/>
      <x:c r="L2" s="105"/>
      <x:c r="M2" s="105"/>
      <x:c r="N2" s="105"/>
      <x:c r="O2" s="105"/>
      <x:c r="P2" s="105"/>
      <x:c r="Q2" s="105"/>
      <x:c r="R2" s="105"/>
      <x:c r="S2" s="105"/>
      <x:c r="T2" s="105"/>
      <x:c r="U2" s="105"/>
      <x:c r="V2" s="105"/>
      <x:c r="W2" s="105"/>
      <x:c r="X2" s="105"/>
      <x:c r="Y2" s="105"/>
      <x:c r="Z2" s="105"/>
      <x:c r="AA2" s="105"/>
      <x:c r="AB2" s="105"/>
      <x:c r="AC2" s="105"/>
    </x:row>
    <x:row r="3" ht="11.25" customHeight="1">
      <x:c r="A3" s="105"/>
      <x:c r="B3" s="105"/>
      <x:c r="C3" s="105"/>
      <x:c r="D3" s="105"/>
      <x:c r="E3" s="105"/>
      <x:c r="F3" s="105"/>
      <x:c r="G3" s="105"/>
      <x:c r="H3" s="105"/>
      <x:c r="I3" s="105"/>
      <x:c r="J3" s="105"/>
      <x:c r="K3" s="105"/>
      <x:c r="L3" s="105"/>
      <x:c r="M3" s="105"/>
      <x:c r="N3" s="105"/>
      <x:c r="O3" s="105"/>
      <x:c r="P3" s="105"/>
      <x:c r="Q3" s="105"/>
      <x:c r="R3" s="105"/>
      <x:c r="S3" s="105"/>
      <x:c r="T3" s="105"/>
      <x:c r="U3" s="105"/>
      <x:c r="V3" s="105"/>
      <x:c r="W3" s="105"/>
      <x:c r="X3" s="105"/>
      <x:c r="Y3" s="105"/>
      <x:c r="Z3" s="105"/>
      <x:c r="AA3" s="105"/>
      <x:c r="AB3" s="105"/>
      <x:c r="AC3" s="105"/>
    </x:row>
    <x:row r="4" ht="11.25" customHeight="1">
      <x:c r="A4" s="105"/>
      <x:c r="B4" s="105"/>
      <x:c r="C4" s="105"/>
      <x:c r="D4" s="105"/>
      <x:c r="E4" s="105"/>
      <x:c r="F4" s="105"/>
      <x:c r="G4" s="105"/>
      <x:c r="H4" s="105"/>
      <x:c r="I4" s="105"/>
      <x:c r="J4" s="105"/>
      <x:c r="K4" s="105"/>
      <x:c r="L4" s="105"/>
      <x:c r="M4" s="105"/>
      <x:c r="N4" s="105"/>
      <x:c r="O4" s="105"/>
      <x:c r="P4" s="105"/>
      <x:c r="Q4" s="105"/>
      <x:c r="R4" s="105"/>
      <x:c r="S4" s="105"/>
      <x:c r="T4" s="105"/>
      <x:c r="U4" s="105"/>
      <x:c r="V4" s="105"/>
      <x:c r="W4" s="105"/>
      <x:c r="X4" s="105"/>
      <x:c r="Y4" s="105"/>
      <x:c r="Z4" s="105"/>
      <x:c r="AA4" s="105"/>
      <x:c r="AB4" s="105"/>
      <x:c r="AC4" s="105"/>
    </x:row>
    <x:row r="5" ht="30" customHeight="1">
      <x:c r="A5" s="154" t="str">
        <x:v>Wave</x:v>
      </x:c>
      <x:c r="B5" s="154" t="str">
        <x:v>Name</x:v>
      </x:c>
      <x:c r="C5" s="154" t="str">
        <x:v>Type</x:v>
      </x:c>
      <x:c r="D5" s="154" t="str">
        <x:v>Published cheque / terms</x:v>
      </x:c>
      <x:c r="E5" s="154" t="str">
        <x:v>Lead role</x:v>
      </x:c>
      <x:c r="F5" s="154" t="str">
        <x:v>Fit assessment</x:v>
      </x:c>
      <x:c r="G5" s="154" t="str">
        <x:v>Why this target</x:v>
      </x:c>
      <x:c r="H5" s="154" t="str">
        <x:v>Constraint / verification note</x:v>
      </x:c>
      <x:c r="I5" s="154" t="str">
        <x:v>Introduction path</x:v>
      </x:c>
      <x:c r="J5" s="154" t="str">
        <x:v>Priority</x:v>
      </x:c>
      <x:c r="K5" s="154" t="str">
        <x:v>Status</x:v>
      </x:c>
      <x:c r="L5" s="154" t="str">
        <x:v>Owner</x:v>
      </x:c>
      <x:c r="M5" s="154" t="str">
        <x:v>Next action</x:v>
      </x:c>
      <x:c r="N5" s="154" t="str">
        <x:v>Planned action date</x:v>
      </x:c>
      <x:c r="O5" s="154" t="str">
        <x:v>Notes</x:v>
      </x:c>
      <x:c r="P5" s="154" t="str">
        <x:v>Contact person</x:v>
      </x:c>
      <x:c r="Q5" s="154" t="str">
        <x:v>Published email</x:v>
      </x:c>
      <x:c r="R5" s="154" t="str">
        <x:v>Best route</x:v>
      </x:c>
      <x:c r="S5" s="154" t="str">
        <x:v>Contact / form URL</x:v>
      </x:c>
      <x:c r="T5" s="154" t="str">
        <x:v>Primary source URL</x:v>
      </x:c>
      <x:c r="U5" s="154" t="str">
        <x:v>Checked on</x:v>
      </x:c>
      <x:c r="V5" s="154" t="str">
        <x:v>Suggested personal opener</x:v>
      </x:c>
      <x:c r="W5" s="154" t="str">
        <x:v>First sent</x:v>
      </x:c>
      <x:c r="X5" s="154" t="str">
        <x:v>Last touch</x:v>
      </x:c>
      <x:c r="Y5" s="154" t="str">
        <x:v>Follow-ups sent</x:v>
      </x:c>
      <x:c r="Z5" s="154" t="str">
        <x:v>Reply / outcome</x:v>
      </x:c>
      <x:c r="AA5" s="154" t="str">
        <x:v>Intro owner</x:v>
      </x:c>
      <x:c r="AB5" s="154" t="str">
        <x:v>Next follow-up</x:v>
      </x:c>
      <x:c r="AC5" s="154" t="str">
        <x:v>Record ID</x:v>
      </x:c>
    </x:row>
    <x:row r="6" ht="75" customHeight="1">
      <x:c r="A6" s="155" t="str">
        <x:v>1</x:v>
      </x:c>
      <x:c r="B6" s="155" t="str">
        <x:v>Eximius Ventures</x:v>
      </x:c>
      <x:c r="C6" s="155" t="str">
        <x:v>VC</x:v>
      </x:c>
      <x:c r="D6" s="105" t="str">
        <x:v>$500K–$700K (partner post)</x:v>
      </x:c>
      <x:c r="E6" s="105" t="str">
        <x:v>Potential; confirm</x:v>
      </x:c>
      <x:c r="F6" s="105" t="str">
        <x:v>Current-round candidate</x:v>
      </x:c>
      <x:c r="G6" s="105" t="str">
        <x:v>Dedicated pre-seed; fintech and enterprise AI.</x:v>
      </x:c>
      <x:c r="H6" s="105" t="str">
        <x:v>Show a repeatable customer job and disclose pre-revenue / employed until close; no paid pilots claimed.</x:v>
      </x:c>
      <x:c r="I6" s="105" t="str">
        <x:v>No actual introducer recorded</x:v>
      </x:c>
      <x:c r="J6" s="105" t="str">
        <x:v>P1</x:v>
      </x:c>
      <x:c r="K6" s="114" t="str">
        <x:v>Not started</x:v>
      </x:c>
      <x:c r="L6" s="114" t="str">
        <x:v>Harsh</x:v>
      </x:c>
      <x:c r="M6" s="114" t="str">
        <x:v>Send Template A to pitch inbox, addressed to Pearl and team.</x:v>
      </x:c>
      <x:c r="N6" s="115" t="d">
        <x:v>2026-10-20T00:00:00.000Z</x:v>
      </x:c>
      <x:c r="O6" s="114" t="str"/>
      <x:c r="P6" s="105" t="str">
        <x:v>Pearl Agarwal / investment team</x:v>
      </x:c>
      <x:c r="Q6" s="105" t="str">
        <x:v>pitches@eximiusvc.com</x:v>
      </x:c>
      <x:c r="R6" s="105" t="str">
        <x:v>Pitch email</x:v>
      </x:c>
      <x:c r="S6" s="105" t="str">
        <x:v>https://eximiusvc.com/</x:v>
      </x:c>
      <x:c r="T6" s="105" t="str">
        <x:v>https://www.linkedin.com/posts/pearl-agarwal_founders-oftenwalk-intoour-first-conversation-activity-7447193122029121536-GZDP</x:v>
      </x:c>
      <x:c r="U6" s="109" t="d">
        <x:v>2026-10-20T00:00:00.000Z</x:v>
      </x:c>
      <x:c r="V6" s="105" t="str">
        <x:v>Your pre-seed fintech and enterprise-AI focus fits our filing-grounded research workflow for professional desks.</x:v>
      </x:c>
      <x:c r="W6" s="115"/>
      <x:c r="X6" s="115"/>
      <x:c r="Y6" s="114" t="n">
        <x:v>0</x:v>
      </x:c>
      <x:c r="Z6" s="114" t="str"/>
      <x:c r="AA6" s="114" t="str"/>
      <x:c r="AB6" s="109" t="str">
        <x:f>IF(OR(K6="Passed",K6="Paused",K6="Committed",K6="Replied",K6="Meeting",K6="Diligence",K6="Do not contact",K6="Research needed",Z6&lt;&gt;"",Y6&gt;=2,W6=""),"",IF(X6="",W6,X6)+7)</x:f>
      </x:c>
      <x:c r="AC6" s="105" t="str">
        <x:v>INV01</x:v>
      </x:c>
    </x:row>
    <x:row r="7" ht="75" customHeight="1">
      <x:c r="A7" s="155" t="str">
        <x:v>1</x:v>
      </x:c>
      <x:c r="B7" s="155" t="str">
        <x:v>All In Capital</x:v>
      </x:c>
      <x:c r="C7" s="155" t="str">
        <x:v>VC</x:v>
      </x:c>
      <x:c r="D7" s="105" t="str">
        <x:v>Homepage $250K–$600K; FAQ $250K–$500K; confirm</x:v>
      </x:c>
      <x:c r="E7" s="105" t="str">
        <x:v>Yes, stated</x:v>
      </x:c>
      <x:c r="F7" s="105" t="str">
        <x:v>Current-round candidate</x:v>
      </x:c>
      <x:c r="G7" s="105" t="str">
        <x:v>First-cheque pre-seed/seed; India.</x:v>
      </x:c>
      <x:c r="H7" s="105" t="str">
        <x:v>Homepage and application FAQ disagree on upper cheque size. Do not present either as a commitment.</x:v>
      </x:c>
      <x:c r="I7" s="105" t="str">
        <x:v>No actual introducer recorded</x:v>
      </x:c>
      <x:c r="J7" s="105" t="str">
        <x:v>P1</x:v>
      </x:c>
      <x:c r="K7" s="114" t="str">
        <x:v>Not started</x:v>
      </x:c>
      <x:c r="L7" s="114" t="str">
        <x:v>Harsh</x:v>
      </x:c>
      <x:c r="M7" s="114" t="str">
        <x:v>Email Kushal OR use official application; log one coordinated firm conversation.</x:v>
      </x:c>
      <x:c r="N7" s="115" t="d">
        <x:v>2026-10-20T00:00:00.000Z</x:v>
      </x:c>
      <x:c r="O7" s="114" t="str"/>
      <x:c r="P7" s="105" t="str">
        <x:v>Kushal Bhagia, founding partner</x:v>
      </x:c>
      <x:c r="Q7" s="105" t="str">
        <x:v>kb@allincapital.vc</x:v>
      </x:c>
      <x:c r="R7" s="105" t="str">
        <x:v>Published partner email</x:v>
      </x:c>
      <x:c r="S7" s="105" t="str">
        <x:v>https://www.allincapital.vc/apply_now</x:v>
      </x:c>
      <x:c r="T7" s="105" t="str">
        <x:v>https://www.allincapital.vc/</x:v>
      </x:c>
      <x:c r="U7" s="109" t="d">
        <x:v>2026-10-20T00:00:00.000Z</x:v>
      </x:c>
      <x:c r="V7" s="105" t="str">
        <x:v>You lead first rounds; Anvest has a working product and a focused professional sales experiment for this round.</x:v>
      </x:c>
      <x:c r="W7" s="115"/>
      <x:c r="X7" s="115"/>
      <x:c r="Y7" s="114" t="n">
        <x:v>0</x:v>
      </x:c>
      <x:c r="Z7" s="114" t="str"/>
      <x:c r="AA7" s="114" t="str"/>
      <x:c r="AB7" s="109" t="str">
        <x:f>IF(OR(K7="Passed",K7="Paused",K7="Committed",K7="Replied",K7="Meeting",K7="Diligence",K7="Do not contact",K7="Research needed",Z7&lt;&gt;"",Y7&gt;=2,W7=""),"",IF(X7="",W7,X7)+7)</x:f>
      </x:c>
      <x:c r="AC7" s="105" t="str">
        <x:v>INV02</x:v>
      </x:c>
    </x:row>
    <x:row r="8" ht="75" customHeight="1">
      <x:c r="A8" s="155" t="str">
        <x:v>1</x:v>
      </x:c>
      <x:c r="B8" s="155" t="str">
        <x:v>Titan Capital</x:v>
      </x:c>
      <x:c r="C8" s="155" t="str">
        <x:v>VC</x:v>
      </x:c>
      <x:c r="D8" s="105" t="str">
        <x:v>Not verified publicly</x:v>
      </x:c>
      <x:c r="E8" s="105" t="str">
        <x:v>Confirm</x:v>
      </x:c>
      <x:c r="F8" s="105" t="str">
        <x:v>Current-round candidate</x:v>
      </x:c>
      <x:c r="G8" s="105" t="str">
        <x:v>Early investor; application explicitly includes AI, fintech and B2B SaaS.</x:v>
      </x:c>
      <x:c r="H8" s="105" t="str">
        <x:v>Use seed technology team; corporate, finance and growth-team inboxes are different mandates.</x:v>
      </x:c>
      <x:c r="I8" s="105" t="str">
        <x:v>No actual introducer recorded</x:v>
      </x:c>
      <x:c r="J8" s="105" t="str">
        <x:v>P1</x:v>
      </x:c>
      <x:c r="K8" s="114" t="str">
        <x:v>Not started</x:v>
      </x:c>
      <x:c r="L8" s="114" t="str">
        <x:v>Harsh</x:v>
      </x:c>
      <x:c r="M8" s="114" t="str">
        <x:v>Email Manik; official Get Investment form is fallback, not a second simultaneous pitch.</x:v>
      </x:c>
      <x:c r="N8" s="115" t="d">
        <x:v>2026-10-21T00:00:00.000Z</x:v>
      </x:c>
      <x:c r="O8" s="114" t="str"/>
      <x:c r="P8" s="105" t="str">
        <x:v>Manik Pasricha, VP Technology Investments</x:v>
      </x:c>
      <x:c r="Q8" s="105" t="str">
        <x:v>manik@titancapital.vc</x:v>
      </x:c>
      <x:c r="R8" s="105" t="str">
        <x:v>Published investment-team email</x:v>
      </x:c>
      <x:c r="S8" s="105" t="str">
        <x:v>https://titancapital.vc/getinvestment</x:v>
      </x:c>
      <x:c r="T8" s="105" t="str">
        <x:v>https://titancapital.vc/ourteam</x:v>
      </x:c>
      <x:c r="U8" s="109" t="d">
        <x:v>2026-10-20T00:00:00.000Z</x:v>
      </x:c>
      <x:c r="V8" s="105" t="str">
        <x:v>Your technology investment team covers the AI and fintech intersection where our professional research workflow sits.</x:v>
      </x:c>
      <x:c r="W8" s="115"/>
      <x:c r="X8" s="115"/>
      <x:c r="Y8" s="114" t="n">
        <x:v>0</x:v>
      </x:c>
      <x:c r="Z8" s="114" t="str"/>
      <x:c r="AA8" s="114" t="str"/>
      <x:c r="AB8" s="109" t="str">
        <x:f>IF(OR(K8="Passed",K8="Paused",K8="Committed",K8="Replied",K8="Meeting",K8="Diligence",K8="Do not contact",K8="Research needed",Z8&lt;&gt;"",Y8&gt;=2,W8=""),"",IF(X8="",W8,X8)+7)</x:f>
      </x:c>
      <x:c r="AC8" s="105" t="str">
        <x:v>INV03</x:v>
      </x:c>
    </x:row>
    <x:row r="9" ht="75" customHeight="1">
      <x:c r="A9" s="155" t="str">
        <x:v>1</x:v>
      </x:c>
      <x:c r="B9" s="155" t="str">
        <x:v>Inuka Capital</x:v>
      </x:c>
      <x:c r="C9" s="155" t="str">
        <x:v>VC</x:v>
      </x:c>
      <x:c r="D9" s="105" t="str">
        <x:v>$150K–$400K</x:v>
      </x:c>
      <x:c r="E9" s="105" t="str">
        <x:v>Has led rounds, stated</x:v>
      </x:c>
      <x:c r="F9" s="105" t="str">
        <x:v>Current-round candidate</x:v>
      </x:c>
      <x:c r="G9" s="105" t="str">
        <x:v>Pre-seed/seed; efficiency and digitization of Indian businesses.</x:v>
      </x:c>
      <x:c r="H9" s="105" t="str">
        <x:v>Published range may cover part of the $500K target; discuss syndication and lead terms.</x:v>
      </x:c>
      <x:c r="I9" s="105" t="str">
        <x:v>No actual introducer recorded</x:v>
      </x:c>
      <x:c r="J9" s="105" t="str">
        <x:v>P1</x:v>
      </x:c>
      <x:c r="K9" s="114" t="str">
        <x:v>Not started</x:v>
      </x:c>
      <x:c r="L9" s="114" t="str">
        <x:v>Harsh</x:v>
      </x:c>
      <x:c r="M9" s="114" t="str">
        <x:v>Send Template A to dedicated pitch address.</x:v>
      </x:c>
      <x:c r="N9" s="115" t="d">
        <x:v>2026-10-21T00:00:00.000Z</x:v>
      </x:c>
      <x:c r="O9" s="114" t="str"/>
      <x:c r="P9" s="105" t="str">
        <x:v>Gautam Shewakramani / Raj Sheth</x:v>
      </x:c>
      <x:c r="Q9" s="105" t="str">
        <x:v>pitch@inuka.vc</x:v>
      </x:c>
      <x:c r="R9" s="105" t="str">
        <x:v>Dedicated founder pitch inbox</x:v>
      </x:c>
      <x:c r="S9" s="105" t="str">
        <x:v>https://inuka.vc/</x:v>
      </x:c>
      <x:c r="T9" s="105" t="str">
        <x:v>https://inuka.vc/</x:v>
      </x:c>
      <x:c r="U9" s="109" t="d">
        <x:v>2026-10-20T00:00:00.000Z</x:v>
      </x:c>
      <x:c r="V9" s="105" t="str">
        <x:v>Anvest aims to reduce the manual filing work of Indian research and advisory firms, matching your efficiency thesis.</x:v>
      </x:c>
      <x:c r="W9" s="115"/>
      <x:c r="X9" s="115"/>
      <x:c r="Y9" s="114" t="n">
        <x:v>0</x:v>
      </x:c>
      <x:c r="Z9" s="114" t="str"/>
      <x:c r="AA9" s="114" t="str"/>
      <x:c r="AB9" s="109" t="str">
        <x:f>IF(OR(K9="Passed",K9="Paused",K9="Committed",K9="Replied",K9="Meeting",K9="Diligence",K9="Do not contact",K9="Research needed",Z9&lt;&gt;"",Y9&gt;=2,W9=""),"",IF(X9="",W9,X9)+7)</x:f>
      </x:c>
      <x:c r="AC9" s="105" t="str">
        <x:v>INV04</x:v>
      </x:c>
    </x:row>
    <x:row r="10" ht="75" customHeight="1">
      <x:c r="A10" s="155" t="str">
        <x:v>1</x:v>
      </x:c>
      <x:c r="B10" s="155" t="str">
        <x:v>Gemba Capital</x:v>
      </x:c>
      <x:c r="C10" s="155" t="str">
        <x:v>VC</x:v>
      </x:c>
      <x:c r="D10" s="105" t="str">
        <x:v>Not verified publicly</x:v>
      </x:c>
      <x:c r="E10" s="105" t="str">
        <x:v>Yes, stated</x:v>
      </x:c>
      <x:c r="F10" s="105" t="str">
        <x:v>Current-round candidate</x:v>
      </x:c>
      <x:c r="G10" s="105" t="str">
        <x:v>Pre-seed/seed specialist; fintech and B2B platforms.</x:v>
      </x:c>
      <x:c r="H10" s="105" t="str">
        <x:v>Old team.php page is 404. Use current visible founder-contact route; do not use cached team emails or nodal-officer contact.</x:v>
      </x:c>
      <x:c r="I10" s="105" t="str">
        <x:v>No actual introducer recorded</x:v>
      </x:c>
      <x:c r="J10" s="105" t="str">
        <x:v>P1</x:v>
      </x:c>
      <x:c r="K10" s="114" t="str">
        <x:v>Not started</x:v>
      </x:c>
      <x:c r="L10" s="114" t="str">
        <x:v>Harsh</x:v>
      </x:c>
      <x:c r="M10" s="114" t="str">
        <x:v>Email official Get in Touch inbox with seed PDF.</x:v>
      </x:c>
      <x:c r="N10" s="115" t="d">
        <x:v>2026-10-22T00:00:00.000Z</x:v>
      </x:c>
      <x:c r="O10" s="114" t="str"/>
      <x:c r="P10" s="105" t="str">
        <x:v>Investment team; attention Adith Podhar</x:v>
      </x:c>
      <x:c r="Q10" s="105" t="str">
        <x:v>info@gembacapital.in</x:v>
      </x:c>
      <x:c r="R10" s="105" t="str">
        <x:v>Official founder Get in Touch inbox</x:v>
      </x:c>
      <x:c r="S10" s="105" t="str">
        <x:v>https://gembacapital.in/partner.php</x:v>
      </x:c>
      <x:c r="T10" s="105" t="str">
        <x:v>https://gembacapital.in/partner.php</x:v>
      </x:c>
      <x:c r="U10" s="109" t="d">
        <x:v>2026-10-20T00:00:00.000Z</x:v>
      </x:c>
      <x:c r="V10" s="105" t="str">
        <x:v>Your fintech and B2B-platform focus fits our research software for professional teams; your portfolio includes Wint Wealth.</x:v>
      </x:c>
      <x:c r="W10" s="115"/>
      <x:c r="X10" s="115"/>
      <x:c r="Y10" s="114" t="n">
        <x:v>0</x:v>
      </x:c>
      <x:c r="Z10" s="114" t="str"/>
      <x:c r="AA10" s="114" t="str"/>
      <x:c r="AB10" s="109" t="str">
        <x:f>IF(OR(K10="Passed",K10="Paused",K10="Committed",K10="Replied",K10="Meeting",K10="Diligence",K10="Do not contact",K10="Research needed",Z10&lt;&gt;"",Y10&gt;=2,W10=""),"",IF(X10="",W10,X10)+7)</x:f>
      </x:c>
      <x:c r="AC10" s="105" t="str">
        <x:v>INV05</x:v>
      </x:c>
    </x:row>
    <x:row r="11" ht="75" customHeight="1">
      <x:c r="A11" s="156" t="str">
        <x:v>2</x:v>
      </x:c>
      <x:c r="B11" s="156" t="str">
        <x:v>India Quotient</x:v>
      </x:c>
      <x:c r="C11" s="156" t="str">
        <x:v>VC</x:v>
      </x:c>
      <x:c r="D11" s="105" t="str">
        <x:v>Not verified publicly</x:v>
      </x:c>
      <x:c r="E11" s="105" t="str">
        <x:v>Confirm</x:v>
      </x:c>
      <x:c r="F11" s="105" t="str">
        <x:v>Current-round candidate</x:v>
      </x:c>
      <x:c r="G11" s="105" t="str">
        <x:v>Paper-stage investor; India SaaS and fintech named sectors.</x:v>
      </x:c>
      <x:c r="H11" s="105" t="str">
        <x:v>Official form link resolved but research fetch returned 401; open signed in before sending. Site publishes an email pattern, not a verified individual address.</x:v>
      </x:c>
      <x:c r="I11" s="105" t="str">
        <x:v>No actual introducer recorded</x:v>
      </x:c>
      <x:c r="J11" s="105" t="str">
        <x:v>P2</x:v>
      </x:c>
      <x:c r="K11" s="114" t="str">
        <x:v>Not started</x:v>
      </x:c>
      <x:c r="L11" s="114" t="str">
        <x:v>Harsh</x:v>
      </x:c>
      <x:c r="M11" s="114" t="str">
        <x:v>Use form linked in homepage FAQ; if inaccessible, contact a team member through official social links.</x:v>
      </x:c>
      <x:c r="N11" s="115" t="d">
        <x:v>2026-10-23T00:00:00.000Z</x:v>
      </x:c>
      <x:c r="O11" s="114" t="str"/>
      <x:c r="P11" s="105" t="str">
        <x:v>Investment team</x:v>
      </x:c>
      <x:c r="Q11" s="105" t="str"/>
      <x:c r="R11" s="105" t="str">
        <x:v>Official pitch form / genuine mutual introduction</x:v>
      </x:c>
      <x:c r="S11" s="105" t="str">
        <x:v>https://docs.google.com/forms/d/e/1FAIpQLSe9R6oCNWHWY-8AguZYIU4mqykRH_VvpAt2W7QMc2rUtRxNdQ/viewform</x:v>
      </x:c>
      <x:c r="T11" s="105" t="str">
        <x:v>https://www.indiaquotient.in/</x:v>
      </x:c>
      <x:c r="U11" s="109" t="d">
        <x:v>2026-10-20T00:00:00.000Z</x:v>
      </x:c>
      <x:c r="V11" s="105" t="str">
        <x:v>You explicitly welcome demos before a first customer; here is a working filing-to-screen workflow for Indian professionals.</x:v>
      </x:c>
      <x:c r="W11" s="115"/>
      <x:c r="X11" s="115"/>
      <x:c r="Y11" s="114" t="n">
        <x:v>0</x:v>
      </x:c>
      <x:c r="Z11" s="114" t="str"/>
      <x:c r="AA11" s="114" t="str"/>
      <x:c r="AB11" s="109" t="str">
        <x:f>IF(OR(K11="Passed",K11="Paused",K11="Committed",K11="Replied",K11="Meeting",K11="Diligence",K11="Do not contact",K11="Research needed",Z11&lt;&gt;"",Y11&gt;=2,W11=""),"",IF(X11="",W11,X11)+7)</x:f>
      </x:c>
      <x:c r="AC11" s="105" t="str">
        <x:v>INV06</x:v>
      </x:c>
    </x:row>
    <x:row r="12" ht="75" customHeight="1">
      <x:c r="A12" s="156" t="str">
        <x:v>2</x:v>
      </x:c>
      <x:c r="B12" s="156" t="str">
        <x:v>Zeropearl</x:v>
      </x:c>
      <x:c r="C12" s="156" t="str">
        <x:v>VC</x:v>
      </x:c>
      <x:c r="D12" s="105" t="str">
        <x:v>Not verified publicly</x:v>
      </x:c>
      <x:c r="E12" s="105" t="str">
        <x:v>Yes, stated</x:v>
      </x:c>
      <x:c r="F12" s="105" t="str">
        <x:v>Current-round candidate</x:v>
      </x:c>
      <x:c r="G12" s="105" t="str">
        <x:v>Pre-seed; founder-first, sector agnostic; SaaS may be pre-revenue.</x:v>
      </x:c>
      <x:c r="H12" s="105" t="str">
        <x:v>Form provider could not be fetched by research tool; official homepage links it. Follow no-deck prompt if form requests that.</x:v>
      </x:c>
      <x:c r="I12" s="105" t="str">
        <x:v>No actual introducer recorded</x:v>
      </x:c>
      <x:c r="J12" s="105" t="str">
        <x:v>P2</x:v>
      </x:c>
      <x:c r="K12" s="114" t="str">
        <x:v>Not started</x:v>
      </x:c>
      <x:c r="L12" s="114" t="str">
        <x:v>Harsh</x:v>
      </x:c>
      <x:c r="M12" s="114" t="str">
        <x:v>Open Pitch here from homepage and complete founder-focused application.</x:v>
      </x:c>
      <x:c r="N12" s="115" t="d">
        <x:v>2026-10-23T00:00:00.000Z</x:v>
      </x:c>
      <x:c r="O12" s="114" t="str"/>
      <x:c r="P12" s="105" t="str">
        <x:v>Bipin Shah, founder / managing partner</x:v>
      </x:c>
      <x:c r="Q12" s="105" t="str"/>
      <x:c r="R12" s="105" t="str">
        <x:v>Official Pitch here form</x:v>
      </x:c>
      <x:c r="S12" s="105" t="str">
        <x:v>https://zpvc.live/form</x:v>
      </x:c>
      <x:c r="T12" s="105" t="str">
        <x:v>https://zeropearl.vc/</x:v>
      </x:c>
      <x:c r="U12" s="109" t="d">
        <x:v>2026-10-20T00:00:00.000Z</x:v>
      </x:c>
      <x:c r="V12" s="105" t="str">
        <x:v>Your pre-revenue SaaS mandate fits a built product now testing its first professional revenue workflow.</x:v>
      </x:c>
      <x:c r="W12" s="115"/>
      <x:c r="X12" s="115"/>
      <x:c r="Y12" s="114" t="n">
        <x:v>0</x:v>
      </x:c>
      <x:c r="Z12" s="114" t="str"/>
      <x:c r="AA12" s="114" t="str"/>
      <x:c r="AB12" s="109" t="str">
        <x:f>IF(OR(K12="Passed",K12="Paused",K12="Committed",K12="Replied",K12="Meeting",K12="Diligence",K12="Do not contact",K12="Research needed",Z12&lt;&gt;"",Y12&gt;=2,W12=""),"",IF(X12="",W12,X12)+7)</x:f>
      </x:c>
      <x:c r="AC12" s="105" t="str">
        <x:v>INV07</x:v>
      </x:c>
    </x:row>
    <x:row r="13" ht="75" customHeight="1">
      <x:c r="A13" s="156" t="str">
        <x:v>2</x:v>
      </x:c>
      <x:c r="B13" s="156" t="str">
        <x:v>Whiteboard Capital</x:v>
      </x:c>
      <x:c r="C13" s="156" t="str">
        <x:v>VC</x:v>
      </x:c>
      <x:c r="D13" s="105" t="str">
        <x:v>Not verified publicly</x:v>
      </x:c>
      <x:c r="E13" s="105" t="str">
        <x:v>Confirm</x:v>
      </x:c>
      <x:c r="F13" s="105" t="str">
        <x:v>Current-round candidate</x:v>
      </x:c>
      <x:c r="G13" s="105" t="str">
        <x:v>Ideation/pre-seed/seed; fintech and SaaS.</x:v>
      </x:c>
      <x:c r="H13" s="105" t="str">
        <x:v>Use official startup form, not a similarly named White Cap supplier or unrelated fund.</x:v>
      </x:c>
      <x:c r="I13" s="105" t="str">
        <x:v>No actual introducer recorded</x:v>
      </x:c>
      <x:c r="J13" s="105" t="str">
        <x:v>P2</x:v>
      </x:c>
      <x:c r="K13" s="114" t="str">
        <x:v>Not started</x:v>
      </x:c>
      <x:c r="L13" s="114" t="str">
        <x:v>Harsh</x:v>
      </x:c>
      <x:c r="M13" s="114" t="str">
        <x:v>Submit seed PDF via official form; save submission confirmation.</x:v>
      </x:c>
      <x:c r="N13" s="115" t="d">
        <x:v>2026-10-26T00:00:00.000Z</x:v>
      </x:c>
      <x:c r="O13" s="114" t="str"/>
      <x:c r="P13" s="105" t="str">
        <x:v>Investment team</x:v>
      </x:c>
      <x:c r="Q13" s="105" t="str"/>
      <x:c r="R13" s="105" t="str">
        <x:v>Official embedded pitch form</x:v>
      </x:c>
      <x:c r="S13" s="105" t="str">
        <x:v>https://form.jotform.com/262302156153043</x:v>
      </x:c>
      <x:c r="T13" s="105" t="str">
        <x:v>https://www.whiteboardcap.com/</x:v>
      </x:c>
      <x:c r="U13" s="109" t="d">
        <x:v>2026-10-20T00:00:00.000Z</x:v>
      </x:c>
      <x:c r="V13" s="105" t="str">
        <x:v>Your early-stage co-building approach fits the move from our working research product to professional customer adoption.</x:v>
      </x:c>
      <x:c r="W13" s="115"/>
      <x:c r="X13" s="115"/>
      <x:c r="Y13" s="114" t="n">
        <x:v>0</x:v>
      </x:c>
      <x:c r="Z13" s="114" t="str"/>
      <x:c r="AA13" s="114" t="str"/>
      <x:c r="AB13" s="109" t="str">
        <x:f>IF(OR(K13="Passed",K13="Paused",K13="Committed",K13="Replied",K13="Meeting",K13="Diligence",K13="Do not contact",K13="Research needed",Z13&lt;&gt;"",Y13&gt;=2,W13=""),"",IF(X13="",W13,X13)+7)</x:f>
      </x:c>
      <x:c r="AC13" s="105" t="str">
        <x:v>INV08</x:v>
      </x:c>
    </x:row>
    <x:row r="14" ht="75" customHeight="1">
      <x:c r="A14" s="156" t="str">
        <x:v>2</x:v>
      </x:c>
      <x:c r="B14" s="156" t="str">
        <x:v>z21 Ventures</x:v>
      </x:c>
      <x:c r="C14" s="156" t="str">
        <x:v>VC</x:v>
      </x:c>
      <x:c r="D14" s="105" t="str">
        <x:v>Not verified publicly</x:v>
      </x:c>
      <x:c r="E14" s="105" t="str">
        <x:v>Confirm</x:v>
      </x:c>
      <x:c r="F14" s="105" t="str">
        <x:v>Current-round candidate</x:v>
      </x:c>
      <x:c r="G14" s="105" t="str">
        <x:v>AI/deeptech; early technical founders.</x:v>
      </x:c>
      <x:c r="H14" s="105" t="str">
        <x:v>Show measured extraction results separately from AI-answer accuracy and discuss India-only initial market.</x:v>
      </x:c>
      <x:c r="I14" s="105" t="str">
        <x:v>No actual introducer recorded</x:v>
      </x:c>
      <x:c r="J14" s="105" t="str">
        <x:v>P2</x:v>
      </x:c>
      <x:c r="K14" s="114" t="str">
        <x:v>Not started</x:v>
      </x:c>
      <x:c r="L14" s="114" t="str">
        <x:v>Harsh</x:v>
      </x:c>
      <x:c r="M14" s="114" t="str">
        <x:v>Email Shachi; team page explicitly invites direct founder contact.</x:v>
      </x:c>
      <x:c r="N14" s="115" t="d">
        <x:v>2026-10-26T00:00:00.000Z</x:v>
      </x:c>
      <x:c r="O14" s="114" t="str"/>
      <x:c r="P14" s="105" t="str">
        <x:v>Shachi Shah, principal</x:v>
      </x:c>
      <x:c r="Q14" s="105" t="str">
        <x:v>shachi.shah@z21.ventures</x:v>
      </x:c>
      <x:c r="R14" s="105" t="str">
        <x:v>Published investment-team email</x:v>
      </x:c>
      <x:c r="S14" s="105" t="str">
        <x:v>https://z21.ventures/contact</x:v>
      </x:c>
      <x:c r="T14" s="105" t="str">
        <x:v>https://z21.ventures/contact</x:v>
      </x:c>
      <x:c r="U14" s="109" t="d">
        <x:v>2026-10-20T00:00:00.000Z</x:v>
      </x:c>
      <x:c r="V14" s="105" t="str">
        <x:v>The hard part of Anvest is source reconciliation and numerical validation, beyond a chat interface over documents.</x:v>
      </x:c>
      <x:c r="W14" s="115"/>
      <x:c r="X14" s="115"/>
      <x:c r="Y14" s="114" t="n">
        <x:v>0</x:v>
      </x:c>
      <x:c r="Z14" s="114" t="str"/>
      <x:c r="AA14" s="114" t="str"/>
      <x:c r="AB14" s="109" t="str">
        <x:f>IF(OR(K14="Passed",K14="Paused",K14="Committed",K14="Replied",K14="Meeting",K14="Diligence",K14="Do not contact",K14="Research needed",Z14&lt;&gt;"",Y14&gt;=2,W14=""),"",IF(X14="",W14,X14)+7)</x:f>
      </x:c>
      <x:c r="AC14" s="105" t="str">
        <x:v>INV09</x:v>
      </x:c>
    </x:row>
    <x:row r="15" ht="75" customHeight="1">
      <x:c r="A15" s="156" t="str">
        <x:v>2</x:v>
      </x:c>
      <x:c r="B15" s="156" t="str">
        <x:v>First Cheque</x:v>
      </x:c>
      <x:c r="C15" s="156" t="str">
        <x:v>VC</x:v>
      </x:c>
      <x:c r="D15" s="105" t="str">
        <x:v>Homepage up to $500K; FAQ standard ₹75L; confirm</x:v>
      </x:c>
      <x:c r="E15" s="105" t="str">
        <x:v>Confirm</x:v>
      </x:c>
      <x:c r="F15" s="105" t="str">
        <x:v>Current-round candidate</x:v>
      </x:c>
      <x:c r="G15" s="105" t="str">
        <x:v>Ideation/pre-product/MVP; sector agnostic.</x:v>
      </x:c>
      <x:c r="H15" s="105" t="str">
        <x:v>Homepage/FAQ cheque language differs. Ask current cheque and terms; do not import old fixed 5% terms. Distinct from firstcheques.com.</x:v>
      </x:c>
      <x:c r="I15" s="105" t="str">
        <x:v>No actual introducer recorded</x:v>
      </x:c>
      <x:c r="J15" s="105" t="str">
        <x:v>P2</x:v>
      </x:c>
      <x:c r="K15" s="114" t="str">
        <x:v>Not started</x:v>
      </x:c>
      <x:c r="L15" s="114" t="str">
        <x:v>Harsh</x:v>
      </x:c>
      <x:c r="M15" s="114" t="str">
        <x:v>Apply through Talk to us link; ask current terms if invited.</x:v>
      </x:c>
      <x:c r="N15" s="115" t="d">
        <x:v>2026-10-27T00:00:00.000Z</x:v>
      </x:c>
      <x:c r="O15" s="114" t="str"/>
      <x:c r="P15" s="105" t="str">
        <x:v>Investment team</x:v>
      </x:c>
      <x:c r="Q15" s="105" t="str">
        <x:v>info@firstcheque.vc</x:v>
      </x:c>
      <x:c r="R15" s="105" t="str">
        <x:v>Official application; general email fallback</x:v>
      </x:c>
      <x:c r="S15" s="105" t="str">
        <x:v>https://forms.gle/DFsogsRG4D5mXi7E7</x:v>
      </x:c>
      <x:c r="T15" s="105" t="str">
        <x:v>https://www.firstcheque.vc/</x:v>
      </x:c>
      <x:c r="U15" s="109" t="d">
        <x:v>2026-10-20T00:00:00.000Z</x:v>
      </x:c>
      <x:c r="V15" s="105" t="str">
        <x:v>You back founders before the first customer; Anvest is live and focused on selling filing research to professional teams.</x:v>
      </x:c>
      <x:c r="W15" s="115"/>
      <x:c r="X15" s="115"/>
      <x:c r="Y15" s="114" t="n">
        <x:v>0</x:v>
      </x:c>
      <x:c r="Z15" s="114" t="str"/>
      <x:c r="AA15" s="114" t="str"/>
      <x:c r="AB15" s="109" t="str">
        <x:f>IF(OR(K15="Passed",K15="Paused",K15="Committed",K15="Replied",K15="Meeting",K15="Diligence",K15="Do not contact",K15="Research needed",Z15&lt;&gt;"",Y15&gt;=2,W15=""),"",IF(X15="",W15,X15)+7)</x:f>
      </x:c>
      <x:c r="AC15" s="105" t="str">
        <x:v>INV10</x:v>
      </x:c>
    </x:row>
    <x:row r="16" ht="75" customHeight="1">
      <x:c r="A16" s="156" t="str">
        <x:v>2</x:v>
      </x:c>
      <x:c r="B16" s="156" t="str">
        <x:v>Rainmatter</x:v>
      </x:c>
      <x:c r="C16" s="156" t="str">
        <x:v>Strategic VC</x:v>
      </x:c>
      <x:c r="D16" s="105" t="str">
        <x:v>₹50L–₹100Cr; wide mandate, not an Anvest allocation</x:v>
      </x:c>
      <x:c r="E16" s="105" t="str">
        <x:v>Confirm; no board seats stated</x:v>
      </x:c>
      <x:c r="F16" s="105" t="str">
        <x:v>Current-round candidate</x:v>
      </x:c>
      <x:c r="G16" s="105" t="str">
        <x:v>Indian fintech; patient capital; stage flexible.</x:v>
      </x:c>
      <x:c r="H16" s="105" t="str">
        <x:v>Discuss portfolio adjacency and data rights. Keep equity pitch separate from any Zerodha commercial pilot; no need to email founders separately.</x:v>
      </x:c>
      <x:c r="I16" s="105" t="str">
        <x:v>No actual introducer recorded</x:v>
      </x:c>
      <x:c r="J16" s="105" t="str">
        <x:v>P2</x:v>
      </x:c>
      <x:c r="K16" s="114" t="str">
        <x:v>Not started</x:v>
      </x:c>
      <x:c r="L16" s="114" t="str">
        <x:v>Harsh</x:v>
      </x:c>
      <x:c r="M16" s="114" t="str">
        <x:v>Complete fintech investment form with seed deck. Start partner discussion separately if requested.</x:v>
      </x:c>
      <x:c r="N16" s="115" t="d">
        <x:v>2026-10-27T00:00:00.000Z</x:v>
      </x:c>
      <x:c r="O16" s="114" t="str"/>
      <x:c r="P16" s="105" t="str">
        <x:v>Fintech investment team</x:v>
      </x:c>
      <x:c r="Q16" s="105" t="str"/>
      <x:c r="R16" s="105" t="str">
        <x:v>Official Apply now form</x:v>
      </x:c>
      <x:c r="S16" s="105" t="str">
        <x:v>https://forms.gle/zg3QSsKpeBWqTgpy8</x:v>
      </x:c>
      <x:c r="T16" s="105" t="str">
        <x:v>https://rainmatter.com/</x:v>
      </x:c>
      <x:c r="U16" s="109" t="d">
        <x:v>2026-10-20T00:00:00.000Z</x:v>
      </x:c>
      <x:c r="V16" s="105" t="str">
        <x:v>Anvest brings source-cited filing research and strategy simulation to the Indian investing workflow.</x:v>
      </x:c>
      <x:c r="W16" s="115"/>
      <x:c r="X16" s="115"/>
      <x:c r="Y16" s="114" t="n">
        <x:v>0</x:v>
      </x:c>
      <x:c r="Z16" s="114" t="str"/>
      <x:c r="AA16" s="114" t="str"/>
      <x:c r="AB16" s="109" t="str">
        <x:f>IF(OR(K16="Passed",K16="Paused",K16="Committed",K16="Replied",K16="Meeting",K16="Diligence",K16="Do not contact",K16="Research needed",Z16&lt;&gt;"",Y16&gt;=2,W16=""),"",IF(X16="",W16,X16)+7)</x:f>
      </x:c>
      <x:c r="AC16" s="105" t="str">
        <x:v>INV11</x:v>
      </x:c>
    </x:row>
    <x:row r="17" ht="75" customHeight="1">
      <x:c r="A17" s="156" t="str">
        <x:v>2</x:v>
      </x:c>
      <x:c r="B17" s="156" t="str">
        <x:v>SenseAI Ventures</x:v>
      </x:c>
      <x:c r="C17" s="156" t="str">
        <x:v>VC</x:v>
      </x:c>
      <x:c r="D17" s="105" t="str">
        <x:v>Not verified publicly</x:v>
      </x:c>
      <x:c r="E17" s="105" t="str">
        <x:v>Confirm</x:v>
      </x:c>
      <x:c r="F17" s="105" t="str">
        <x:v>Current-round candidate</x:v>
      </x:c>
      <x:c r="G17" s="105" t="str">
        <x:v>AI-native businesses; NLP/LLM and finance in portfolio categories.</x:v>
      </x:c>
      <x:c r="H17" s="105" t="str">
        <x:v>Do not call the 50-filing extraction audit an answer-accuracy benchmark.</x:v>
      </x:c>
      <x:c r="I17" s="105" t="str">
        <x:v>No actual introducer recorded</x:v>
      </x:c>
      <x:c r="J17" s="105" t="str">
        <x:v>P2</x:v>
      </x:c>
      <x:c r="K17" s="114" t="str">
        <x:v>Not started</x:v>
      </x:c>
      <x:c r="L17" s="114" t="str">
        <x:v>Harsh</x:v>
      </x:c>
      <x:c r="M17" s="114" t="str">
        <x:v>Apply with architecture summary, scoped audit and seed PDF link.</x:v>
      </x:c>
      <x:c r="N17" s="115" t="d">
        <x:v>2026-10-28T00:00:00.000Z</x:v>
      </x:c>
      <x:c r="O17" s="114" t="str"/>
      <x:c r="P17" s="105" t="str">
        <x:v>AI investment team</x:v>
      </x:c>
      <x:c r="Q17" s="105" t="str"/>
      <x:c r="R17" s="105" t="str">
        <x:v>Dedicated Pitch to us form</x:v>
      </x:c>
      <x:c r="S17" s="105" t="str">
        <x:v>https://www.senseai.ai/pitch-to-us/</x:v>
      </x:c>
      <x:c r="T17" s="105" t="str">
        <x:v>https://www.senseai.ai/pitch-to-us/</x:v>
      </x:c>
      <x:c r="U17" s="109" t="d">
        <x:v>2026-10-20T00:00:00.000Z</x:v>
      </x:c>
      <x:c r="V17" s="105" t="str">
        <x:v>Source reconciliation, abstention and post-answer validation are central to our professional research product.</x:v>
      </x:c>
      <x:c r="W17" s="115"/>
      <x:c r="X17" s="115"/>
      <x:c r="Y17" s="114" t="n">
        <x:v>0</x:v>
      </x:c>
      <x:c r="Z17" s="114" t="str"/>
      <x:c r="AA17" s="114" t="str"/>
      <x:c r="AB17" s="109" t="str">
        <x:f>IF(OR(K17="Passed",K17="Paused",K17="Committed",K17="Replied",K17="Meeting",K17="Diligence",K17="Do not contact",K17="Research needed",Z17&lt;&gt;"",Y17&gt;=2,W17=""),"",IF(X17="",W17,X17)+7)</x:f>
      </x:c>
      <x:c r="AC17" s="105" t="str">
        <x:v>INV12</x:v>
      </x:c>
    </x:row>
    <x:row r="18" ht="75" customHeight="1">
      <x:c r="A18" s="156" t="str">
        <x:v>2</x:v>
      </x:c>
      <x:c r="B18" s="156" t="str">
        <x:v>Better Capital</x:v>
      </x:c>
      <x:c r="C18" s="156" t="str">
        <x:v>VC</x:v>
      </x:c>
      <x:c r="D18" s="105" t="str">
        <x:v>Not verified publicly</x:v>
      </x:c>
      <x:c r="E18" s="105" t="str">
        <x:v>Confirm</x:v>
      </x:c>
      <x:c r="F18" s="105" t="str">
        <x:v>Current-round candidate</x:v>
      </x:c>
      <x:c r="G18" s="105" t="str">
        <x:v>Day-zero investor; fintech and AI portfolio.</x:v>
      </x:c>
      <x:c r="H18" s="105" t="str">
        <x:v>No suitable published pitch email verified. Do not use guessed betterlabs addresses or the unrelated UK Better Capital fund.</x:v>
      </x:c>
      <x:c r="I18" s="105" t="str">
        <x:v>No actual introducer recorded</x:v>
      </x:c>
      <x:c r="J18" s="105" t="str">
        <x:v>P2</x:v>
      </x:c>
      <x:c r="K18" s="114" t="str">
        <x:v>Not started</x:v>
      </x:c>
      <x:c r="L18" s="114" t="str">
        <x:v>Harsh</x:v>
      </x:c>
      <x:c r="M18" s="114" t="str">
        <x:v>Seek an actual mutual introduction for 48 hours, then concise LinkedIn note through profile linked by fund.</x:v>
      </x:c>
      <x:c r="N18" s="115" t="d">
        <x:v>2026-10-28T00:00:00.000Z</x:v>
      </x:c>
      <x:c r="O18" s="114" t="str"/>
      <x:c r="P18" s="105" t="str">
        <x:v>Vaibhav Domkundwar</x:v>
      </x:c>
      <x:c r="Q18" s="105" t="str"/>
      <x:c r="R18" s="105" t="str">
        <x:v>Officially linked LinkedIn / genuine introduction</x:v>
      </x:c>
      <x:c r="S18" s="105" t="str">
        <x:v>https://www.linkedin.com/in/better/</x:v>
      </x:c>
      <x:c r="T18" s="105" t="str">
        <x:v>https://www.bettercapital.vc/</x:v>
      </x:c>
      <x:c r="U18" s="109" t="d">
        <x:v>2026-10-20T00:00:00.000Z</x:v>
      </x:c>
      <x:c r="V18" s="105" t="str">
        <x:v>Your day-zero approach and fintech portfolio fit a technical founder with a working Indian research product.</x:v>
      </x:c>
      <x:c r="W18" s="115"/>
      <x:c r="X18" s="115"/>
      <x:c r="Y18" s="114" t="n">
        <x:v>0</x:v>
      </x:c>
      <x:c r="Z18" s="114" t="str"/>
      <x:c r="AA18" s="114" t="str"/>
      <x:c r="AB18" s="109" t="str">
        <x:f>IF(OR(K18="Passed",K18="Paused",K18="Committed",K18="Replied",K18="Meeting",K18="Diligence",K18="Do not contact",K18="Research needed",Z18&lt;&gt;"",Y18&gt;=2,W18=""),"",IF(X18="",W18,X18)+7)</x:f>
      </x:c>
      <x:c r="AC18" s="105" t="str">
        <x:v>INV13</x:v>
      </x:c>
    </x:row>
    <x:row r="19" ht="75" customHeight="1">
      <x:c r="A19" s="156" t="str">
        <x:v>2</x:v>
      </x:c>
      <x:c r="B19" s="156" t="str">
        <x:v>3one4 Capital</x:v>
      </x:c>
      <x:c r="C19" s="156" t="str">
        <x:v>VC</x:v>
      </x:c>
      <x:c r="D19" s="105" t="str">
        <x:v>Not verified publicly</x:v>
      </x:c>
      <x:c r="E19" s="105" t="str">
        <x:v>Confirm</x:v>
      </x:c>
      <x:c r="F19" s="105" t="str">
        <x:v>Current-round candidate</x:v>
      </x:c>
      <x:c r="G19" s="105" t="str">
        <x:v>Early stage; fintech, SaaS and SMB digitization.</x:v>
      </x:c>
      <x:c r="H19" s="105" t="str">
        <x:v>Larger fund; fit is not certainty. Form includes pitch upload; use pitch section rather than general query section.</x:v>
      </x:c>
      <x:c r="I19" s="105" t="str">
        <x:v>No actual introducer recorded</x:v>
      </x:c>
      <x:c r="J19" s="105" t="str">
        <x:v>P2</x:v>
      </x:c>
      <x:c r="K19" s="114" t="str">
        <x:v>Not started</x:v>
      </x:c>
      <x:c r="L19" s="114" t="str">
        <x:v>Harsh</x:v>
      </x:c>
      <x:c r="M19" s="114" t="str">
        <x:v>Use official Pitch to Us entry; avoid duplicating a form with a new cold-email thread.</x:v>
      </x:c>
      <x:c r="N19" s="115" t="d">
        <x:v>2026-10-29T00:00:00.000Z</x:v>
      </x:c>
      <x:c r="O19" s="114" t="str"/>
      <x:c r="P19" s="105" t="str">
        <x:v>Investment team</x:v>
      </x:c>
      <x:c r="Q19" s="105" t="str">
        <x:v>hello@3one4capital.com</x:v>
      </x:c>
      <x:c r="R19" s="105" t="str">
        <x:v>Official Pitch to Us form; general inbox fallback</x:v>
      </x:c>
      <x:c r="S19" s="105" t="str">
        <x:v>https://www.3one4capital.com/contact-us</x:v>
      </x:c>
      <x:c r="T19" s="105" t="str">
        <x:v>https://www.3one4capital.com/</x:v>
      </x:c>
      <x:c r="U19" s="109" t="d">
        <x:v>2026-10-20T00:00:00.000Z</x:v>
      </x:c>
      <x:c r="V19" s="105" t="str">
        <x:v>Professional filing research sits across your fintech and business-software categories.</x:v>
      </x:c>
      <x:c r="W19" s="115"/>
      <x:c r="X19" s="115"/>
      <x:c r="Y19" s="114" t="n">
        <x:v>0</x:v>
      </x:c>
      <x:c r="Z19" s="114" t="str"/>
      <x:c r="AA19" s="114" t="str"/>
      <x:c r="AB19" s="109" t="str">
        <x:f>IF(OR(K19="Passed",K19="Paused",K19="Committed",K19="Replied",K19="Meeting",K19="Diligence",K19="Do not contact",K19="Research needed",Z19&lt;&gt;"",Y19&gt;=2,W19=""),"",IF(X19="",W19,X19)+7)</x:f>
      </x:c>
      <x:c r="AC19" s="105" t="str">
        <x:v>INV14</x:v>
      </x:c>
    </x:row>
    <x:row r="20" ht="75" customHeight="1">
      <x:c r="A20" s="157" t="str">
        <x:v>3</x:v>
      </x:c>
      <x:c r="B20" s="157" t="str">
        <x:v>WaterBridge Ventures</x:v>
      </x:c>
      <x:c r="C20" s="157" t="str">
        <x:v>VC</x:v>
      </x:c>
      <x:c r="D20" s="105" t="str">
        <x:v>Not verified publicly</x:v>
      </x:c>
      <x:c r="E20" s="105" t="str">
        <x:v>First institutional cheque, stated</x:v>
      </x:c>
      <x:c r="F20" s="105" t="str">
        <x:v>Current-round candidate</x:v>
      </x:c>
      <x:c r="G20" s="105" t="str">
        <x:v>First institutional cheque; seed and pre-Series A; B2B/data adjacency.</x:v>
      </x:c>
      <x:c r="H20" s="105" t="str">
        <x:v>Form asks for cap table and founder video; provide verified company records, not old tracker assumptions.</x:v>
      </x:c>
      <x:c r="I20" s="105" t="str">
        <x:v>No actual introducer recorded</x:v>
      </x:c>
      <x:c r="J20" s="105" t="str">
        <x:v>P3</x:v>
      </x:c>
      <x:c r="K20" s="114" t="str">
        <x:v>Not started</x:v>
      </x:c>
      <x:c r="L20" s="114" t="str">
        <x:v>Harsh</x:v>
      </x:c>
      <x:c r="M20" s="114" t="str">
        <x:v>Prepare requested application assets; send one coordinated pitch.</x:v>
      </x:c>
      <x:c r="N20" s="115" t="d">
        <x:v>2026-10-30T00:00:00.000Z</x:v>
      </x:c>
      <x:c r="O20" s="114" t="str"/>
      <x:c r="P20" s="105" t="str">
        <x:v>Investment team</x:v>
      </x:c>
      <x:c r="Q20" s="105" t="str">
        <x:v>pitch@waterbridge.vc</x:v>
      </x:c>
      <x:c r="R20" s="105" t="str">
        <x:v>Pitch email / official application</x:v>
      </x:c>
      <x:c r="S20" s="105" t="str">
        <x:v>https://form.jotform.com/210891198850463</x:v>
      </x:c>
      <x:c r="T20" s="105" t="str">
        <x:v>https://www.linkedin.com/posts/waterbridgeventures_thrilled-to-host-some-amazing-founders-activity-7211619011078365184-rPdx</x:v>
      </x:c>
      <x:c r="U20" s="109" t="d">
        <x:v>2026-10-20T00:00:00.000Z</x:v>
      </x:c>
      <x:c r="V20" s="105" t="str">
        <x:v>Anvest applies a data warehouse and grounded AI to a recurring Indian professional workflow.</x:v>
      </x:c>
      <x:c r="W20" s="115"/>
      <x:c r="X20" s="115"/>
      <x:c r="Y20" s="114" t="n">
        <x:v>0</x:v>
      </x:c>
      <x:c r="Z20" s="114" t="str"/>
      <x:c r="AA20" s="114" t="str"/>
      <x:c r="AB20" s="109" t="str">
        <x:f>IF(OR(K20="Passed",K20="Paused",K20="Committed",K20="Replied",K20="Meeting",K20="Diligence",K20="Do not contact",K20="Research needed",Z20&lt;&gt;"",Y20&gt;=2,W20=""),"",IF(X20="",W20,X20)+7)</x:f>
      </x:c>
      <x:c r="AC20" s="105" t="str">
        <x:v>INV15</x:v>
      </x:c>
    </x:row>
    <x:row r="21" ht="75" customHeight="1">
      <x:c r="A21" s="157" t="str">
        <x:v>3</x:v>
      </x:c>
      <x:c r="B21" s="157" t="str">
        <x:v>Prime Venture Partners</x:v>
      </x:c>
      <x:c r="C21" s="157" t="str">
        <x:v>VC</x:v>
      </x:c>
      <x:c r="D21" s="105" t="str">
        <x:v>Initial cheque not verified; lifetime allocation is not initial cheque</x:v>
      </x:c>
      <x:c r="E21" s="105" t="str">
        <x:v>First institutional cheque preferred</x:v>
      </x:c>
      <x:c r="F21" s="105" t="str">
        <x:v>Current-round candidate</x:v>
      </x:c>
      <x:c r="G21" s="105" t="str">
        <x:v>First institutional investor; fintech and enterprise software.</x:v>
      </x:c>
      <x:c r="H21" s="105" t="str">
        <x:v>Site prioritizes referrals. Sanjay personal angel route is not an independent second lead in this tracker.</x:v>
      </x:c>
      <x:c r="I21" s="105" t="str">
        <x:v>No actual introducer recorded</x:v>
      </x:c>
      <x:c r="J21" s="105" t="str">
        <x:v>P3</x:v>
      </x:c>
      <x:c r="K21" s="114" t="str">
        <x:v>Not started</x:v>
      </x:c>
      <x:c r="L21" s="114" t="str">
        <x:v>Harsh</x:v>
      </x:c>
      <x:c r="M21" s="114" t="str">
        <x:v>Ask genuine mutual for intro; if unavailable, brief routing request to general inbox.</x:v>
      </x:c>
      <x:c r="N21" s="115" t="d">
        <x:v>2026-10-30T00:00:00.000Z</x:v>
      </x:c>
      <x:c r="O21" s="114" t="str"/>
      <x:c r="P21" s="105" t="str">
        <x:v>Sanjay Swamy / investment team via introduction</x:v>
      </x:c>
      <x:c r="Q21" s="105" t="str">
        <x:v>info@primevp.in</x:v>
      </x:c>
      <x:c r="R21" s="105" t="str">
        <x:v>Warm referral preferred; official general contact fallback</x:v>
      </x:c>
      <x:c r="S21" s="105" t="str">
        <x:v>https://www.primevp.in/contact-us</x:v>
      </x:c>
      <x:c r="T21" s="105" t="str">
        <x:v>https://www.primevp.in/contact-us</x:v>
      </x:c>
      <x:c r="U21" s="109" t="d">
        <x:v>2026-10-20T00:00:00.000Z</x:v>
      </x:c>
      <x:c r="V21" s="105" t="str">
        <x:v>Our bottom-up professional sales plan fits your first-cheque approach and emphasis on bottom-up market sizing.</x:v>
      </x:c>
      <x:c r="W21" s="115"/>
      <x:c r="X21" s="115"/>
      <x:c r="Y21" s="114" t="n">
        <x:v>0</x:v>
      </x:c>
      <x:c r="Z21" s="114" t="str"/>
      <x:c r="AA21" s="114" t="str"/>
      <x:c r="AB21" s="109" t="str">
        <x:f>IF(OR(K21="Passed",K21="Paused",K21="Committed",K21="Replied",K21="Meeting",K21="Diligence",K21="Do not contact",K21="Research needed",Z21&lt;&gt;"",Y21&gt;=2,W21=""),"",IF(X21="",W21,X21)+7)</x:f>
      </x:c>
      <x:c r="AC21" s="105" t="str">
        <x:v>INV16</x:v>
      </x:c>
    </x:row>
    <x:row r="22" ht="75" customHeight="1">
      <x:c r="A22" s="157" t="str">
        <x:v>3</x:v>
      </x:c>
      <x:c r="B22" s="157" t="str">
        <x:v>Elevation Capital</x:v>
      </x:c>
      <x:c r="C22" s="157" t="str">
        <x:v>VC</x:v>
      </x:c>
      <x:c r="D22" s="105" t="str">
        <x:v>Not verified publicly</x:v>
      </x:c>
      <x:c r="E22" s="105" t="str">
        <x:v>Confirm</x:v>
      </x:c>
      <x:c r="F22" s="105" t="str">
        <x:v>Current-round candidate</x:v>
      </x:c>
      <x:c r="G22" s="105" t="str">
        <x:v>Official FAQ explicitly welcomes first-time and to-be founders; fintech and SaaS.</x:v>
      </x:c>
      <x:c r="H22" s="105" t="str">
        <x:v>Large-fund ambition and $500K round fit need discussion; not categorically too early.</x:v>
      </x:c>
      <x:c r="I22" s="105" t="str">
        <x:v>No actual introducer recorded</x:v>
      </x:c>
      <x:c r="J22" s="105" t="str">
        <x:v>P3</x:v>
      </x:c>
      <x:c r="K22" s="114" t="str">
        <x:v>Not started</x:v>
      </x:c>
      <x:c r="L22" s="114" t="str">
        <x:v>Harsh</x:v>
      </x:c>
      <x:c r="M22" s="114" t="str">
        <x:v>Submit PDF via pitch form; explain professional wedge and broader scale.</x:v>
      </x:c>
      <x:c r="N22" s="115" t="d">
        <x:v>2026-11-02T00:00:00.000Z</x:v>
      </x:c>
      <x:c r="O22" s="114" t="str"/>
      <x:c r="P22" s="105" t="str">
        <x:v>Fintech / enterprise AI investment team</x:v>
      </x:c>
      <x:c r="Q22" s="105" t="str"/>
      <x:c r="R22" s="105" t="str">
        <x:v>Official startup pitch form</x:v>
      </x:c>
      <x:c r="S22" s="105" t="str">
        <x:v>https://www.elevationcapital.com/pitch</x:v>
      </x:c>
      <x:c r="T22" s="105" t="str">
        <x:v>https://www.elevationcapital.com/pitch</x:v>
      </x:c>
      <x:c r="U22" s="109" t="d">
        <x:v>2026-10-20T00:00:00.000Z</x:v>
      </x:c>
      <x:c r="V22" s="105" t="str">
        <x:v>A source-grounded research workflow for Indian professionals sits at your fintech and enterprise-AI intersection.</x:v>
      </x:c>
      <x:c r="W22" s="115"/>
      <x:c r="X22" s="115"/>
      <x:c r="Y22" s="114" t="n">
        <x:v>0</x:v>
      </x:c>
      <x:c r="Z22" s="114" t="str"/>
      <x:c r="AA22" s="114" t="str"/>
      <x:c r="AB22" s="109" t="str">
        <x:f>IF(OR(K22="Passed",K22="Paused",K22="Committed",K22="Replied",K22="Meeting",K22="Diligence",K22="Do not contact",K22="Research needed",Z22&lt;&gt;"",Y22&gt;=2,W22=""),"",IF(X22="",W22,X22)+7)</x:f>
      </x:c>
      <x:c r="AC22" s="105" t="str">
        <x:v>INV17</x:v>
      </x:c>
    </x:row>
    <x:row r="23" ht="75" customHeight="1">
      <x:c r="A23" s="157" t="str">
        <x:v>3</x:v>
      </x:c>
      <x:c r="B23" s="157" t="str">
        <x:v>Z47</x:v>
      </x:c>
      <x:c r="C23" s="157" t="str">
        <x:v>VC</x:v>
      </x:c>
      <x:c r="D23" s="105" t="str">
        <x:v>Not verified publicly</x:v>
      </x:c>
      <x:c r="E23" s="105" t="str">
        <x:v>Confirm</x:v>
      </x:c>
      <x:c r="F23" s="105" t="str">
        <x:v>Current-round candidate</x:v>
      </x:c>
      <x:c r="G23" s="105" t="str">
        <x:v>Seed-to-growth; fintech and software adjacency.</x:v>
      </x:c>
      <x:c r="H23" s="105" t="str">
        <x:v>No named investor inbox verified; do not infer email from a name.</x:v>
      </x:c>
      <x:c r="I23" s="105" t="str">
        <x:v>No actual introducer recorded</x:v>
      </x:c>
      <x:c r="J23" s="105" t="str">
        <x:v>P3</x:v>
      </x:c>
      <x:c r="K23" s="114" t="str">
        <x:v>Not started</x:v>
      </x:c>
      <x:c r="L23" s="114" t="str">
        <x:v>Harsh</x:v>
      </x:c>
      <x:c r="M23" s="114" t="str">
        <x:v>Submit website form with deck link, or use genuine investment-team introduction.</x:v>
      </x:c>
      <x:c r="N23" s="115" t="d">
        <x:v>2026-11-02T00:00:00.000Z</x:v>
      </x:c>
      <x:c r="O23" s="114" t="str"/>
      <x:c r="P23" s="105" t="str">
        <x:v>Fintech / AI investment team</x:v>
      </x:c>
      <x:c r="Q23" s="105" t="str"/>
      <x:c r="R23" s="105" t="str">
        <x:v>Official business-plan form</x:v>
      </x:c>
      <x:c r="S23" s="105" t="str">
        <x:v>https://www.z47.com/contact</x:v>
      </x:c>
      <x:c r="T23" s="105" t="str">
        <x:v>https://www.z47.com/contact</x:v>
      </x:c>
      <x:c r="U23" s="109" t="d">
        <x:v>2026-10-20T00:00:00.000Z</x:v>
      </x:c>
      <x:c r="V23" s="105" t="str">
        <x:v>Anvest connects Indian financial data to an AI workflow for research teams; we are testing professional willingness to pay first.</x:v>
      </x:c>
      <x:c r="W23" s="115"/>
      <x:c r="X23" s="115"/>
      <x:c r="Y23" s="114" t="n">
        <x:v>0</x:v>
      </x:c>
      <x:c r="Z23" s="114" t="str"/>
      <x:c r="AA23" s="114" t="str"/>
      <x:c r="AB23" s="109" t="str">
        <x:f>IF(OR(K23="Passed",K23="Paused",K23="Committed",K23="Replied",K23="Meeting",K23="Diligence",K23="Do not contact",K23="Research needed",Z23&lt;&gt;"",Y23&gt;=2,W23=""),"",IF(X23="",W23,X23)+7)</x:f>
      </x:c>
      <x:c r="AC23" s="105" t="str">
        <x:v>INV18</x:v>
      </x:c>
    </x:row>
    <x:row r="24" ht="75" customHeight="1">
      <x:c r="A24" s="157" t="str">
        <x:v>3</x:v>
      </x:c>
      <x:c r="B24" s="157" t="str">
        <x:v>Peak XV / Surge</x:v>
      </x:c>
      <x:c r="C24" s="157" t="str">
        <x:v>VC / program</x:v>
      </x:c>
      <x:c r="D24" s="105" t="str">
        <x:v>$500K–$5M seed capital</x:v>
      </x:c>
      <x:c r="E24" s="105" t="str">
        <x:v>Confirm</x:v>
      </x:c>
      <x:c r="F24" s="105" t="str">
        <x:v>Current-round candidate</x:v>
      </x:c>
      <x:c r="G24" s="105" t="str">
        <x:v>Day-zero founders; rolling seed applications.</x:v>
      </x:c>
      <x:c r="H24" s="105" t="str">
        <x:v>Program terms may differ from proposed cap. No duplicate Peak XV core outreach while Surge is active.</x:v>
      </x:c>
      <x:c r="I24" s="105" t="str">
        <x:v>No actual introducer recorded</x:v>
      </x:c>
      <x:c r="J24" s="105" t="str">
        <x:v>P3</x:v>
      </x:c>
      <x:c r="K24" s="114" t="str">
        <x:v>Not started</x:v>
      </x:c>
      <x:c r="L24" s="114" t="str">
        <x:v>Harsh</x:v>
      </x:c>
      <x:c r="M24" s="114" t="str">
        <x:v>Apply through Surge; prepare founder/product video and deck URL.</x:v>
      </x:c>
      <x:c r="N24" s="115" t="d">
        <x:v>2026-11-03T00:00:00.000Z</x:v>
      </x:c>
      <x:c r="O24" s="114" t="str"/>
      <x:c r="P24" s="105" t="str">
        <x:v>Surge investment team</x:v>
      </x:c>
      <x:c r="Q24" s="105" t="str"/>
      <x:c r="R24" s="105" t="str">
        <x:v>Official rolling application</x:v>
      </x:c>
      <x:c r="S24" s="105" t="str">
        <x:v>https://surge.peakxv.com/reach-out</x:v>
      </x:c>
      <x:c r="T24" s="105" t="str">
        <x:v>https://surge.peakxv.com/</x:v>
      </x:c>
      <x:c r="U24" s="109" t="d">
        <x:v>2026-10-20T00:00:00.000Z</x:v>
      </x:c>
      <x:c r="V24" s="105" t="str">
        <x:v>We have built the product and source-reconciliation layer; this round tests a focused professional go-to-market.</x:v>
      </x:c>
      <x:c r="W24" s="115"/>
      <x:c r="X24" s="115"/>
      <x:c r="Y24" s="114" t="n">
        <x:v>0</x:v>
      </x:c>
      <x:c r="Z24" s="114" t="str"/>
      <x:c r="AA24" s="114" t="str"/>
      <x:c r="AB24" s="109" t="str">
        <x:f>IF(OR(K24="Passed",K24="Paused",K24="Committed",K24="Replied",K24="Meeting",K24="Diligence",K24="Do not contact",K24="Research needed",Z24&lt;&gt;"",Y24&gt;=2,W24=""),"",IF(X24="",W24,X24)+7)</x:f>
      </x:c>
      <x:c r="AC24" s="105" t="str">
        <x:v>INV19</x:v>
      </x:c>
    </x:row>
    <x:row r="25" ht="75" customHeight="1">
      <x:c r="A25" s="157" t="str">
        <x:v>3</x:v>
      </x:c>
      <x:c r="B25" s="157" t="str">
        <x:v>Grayscale Ventures</x:v>
      </x:c>
      <x:c r="C25" s="157" t="str">
        <x:v>VC</x:v>
      </x:c>
      <x:c r="D25" s="105" t="str">
        <x:v>$125K–$1M</x:v>
      </x:c>
      <x:c r="E25" s="105" t="str">
        <x:v>Yes, stated</x:v>
      </x:c>
      <x:c r="F25" s="105" t="str">
        <x:v>Current-round candidate</x:v>
      </x:c>
      <x:c r="G25" s="105" t="str">
        <x:v>First-cheque AI/vertical infrastructure; technical founders.</x:v>
      </x:c>
      <x:c r="H25" s="105" t="str">
        <x:v>India-first research app is less direct fit than global infrastructure. Do not relabel current product as an infra business.</x:v>
      </x:c>
      <x:c r="I25" s="105" t="str">
        <x:v>No actual introducer recorded</x:v>
      </x:c>
      <x:c r="J25" s="105" t="str">
        <x:v>P3</x:v>
      </x:c>
      <x:c r="K25" s="114" t="str">
        <x:v>Not started</x:v>
      </x:c>
      <x:c r="L25" s="114" t="str">
        <x:v>Harsh</x:v>
      </x:c>
      <x:c r="M25" s="114" t="str">
        <x:v>Email Sid with a precise product/architecture explanation and current India scope.</x:v>
      </x:c>
      <x:c r="N25" s="115" t="d">
        <x:v>2026-11-03T00:00:00.000Z</x:v>
      </x:c>
      <x:c r="O25" s="114" t="str"/>
      <x:c r="P25" s="105" t="str">
        <x:v>Sid Verma, partner</x:v>
      </x:c>
      <x:c r="Q25" s="105" t="str">
        <x:v>sid@grayscale.vc</x:v>
      </x:c>
      <x:c r="R25" s="105" t="str">
        <x:v>Published partner email</x:v>
      </x:c>
      <x:c r="S25" s="105" t="str">
        <x:v>https://grayscale.vc/</x:v>
      </x:c>
      <x:c r="T25" s="105" t="str">
        <x:v>https://grayscale.vc/</x:v>
      </x:c>
      <x:c r="U25" s="109" t="d">
        <x:v>2026-10-20T00:00:00.000Z</x:v>
      </x:c>
      <x:c r="V25" s="105" t="str">
        <x:v>Our reconciliation and validation layer supports a vertical AI research workflow; I can show the source audit and product.</x:v>
      </x:c>
      <x:c r="W25" s="115"/>
      <x:c r="X25" s="115"/>
      <x:c r="Y25" s="114" t="n">
        <x:v>0</x:v>
      </x:c>
      <x:c r="Z25" s="114" t="str"/>
      <x:c r="AA25" s="114" t="str"/>
      <x:c r="AB25" s="109" t="str">
        <x:f>IF(OR(K25="Passed",K25="Paused",K25="Committed",K25="Replied",K25="Meeting",K25="Diligence",K25="Do not contact",K25="Research needed",Z25&lt;&gt;"",Y25&gt;=2,W25=""),"",IF(X25="",W25,X25)+7)</x:f>
      </x:c>
      <x:c r="AC25" s="105" t="str">
        <x:v>INV20</x:v>
      </x:c>
    </x:row>
    <x:row r="26" ht="75" customHeight="1">
      <x:c r="A26" s="157" t="str">
        <x:v>3</x:v>
      </x:c>
      <x:c r="B26" s="157" t="str">
        <x:v>Antler India — Direct</x:v>
      </x:c>
      <x:c r="C26" s="157" t="str">
        <x:v>VC / program</x:v>
      </x:c>
      <x:c r="D26" s="105" t="str">
        <x:v>Direct terms not published; residency terms are separate</x:v>
      </x:c>
      <x:c r="E26" s="105" t="str">
        <x:v>Confirm</x:v>
      </x:c>
      <x:c r="F26" s="105" t="str">
        <x:v>Current-round candidate</x:v>
      </x:c>
      <x:c r="G26" s="105" t="str">
        <x:v>Official India page offers Direct outside residency; AI-first focus.</x:v>
      </x:c>
      <x:c r="H26" s="105" t="str">
        <x:v>Full-time from close must be disclosed. Residency requires full-time Bangalore participation; direct terms/eligibility need confirmation.</x:v>
      </x:c>
      <x:c r="I26" s="105" t="str">
        <x:v>No actual introducer recorded</x:v>
      </x:c>
      <x:c r="J26" s="105" t="str">
        <x:v>P3</x:v>
      </x:c>
      <x:c r="K26" s="114" t="str">
        <x:v>Not started</x:v>
      </x:c>
      <x:c r="L26" s="114" t="str">
        <x:v>Harsh</x:v>
      </x:c>
      <x:c r="M26" s="114" t="str">
        <x:v>Use direct pitch route or actual referral; ask which India investment track applies.</x:v>
      </x:c>
      <x:c r="N26" s="115" t="d">
        <x:v>2026-11-04T00:00:00.000Z</x:v>
      </x:c>
      <x:c r="O26" s="114" t="str"/>
      <x:c r="P26" s="105" t="str">
        <x:v>India investment team</x:v>
      </x:c>
      <x:c r="Q26" s="105" t="str"/>
      <x:c r="R26" s="105" t="str">
        <x:v>Official pitch route; choose Bangalore / idea-to-pre-seed</x:v>
      </x:c>
      <x:c r="S26" s="105" t="str">
        <x:v>https://www.antler.co/pitch</x:v>
      </x:c>
      <x:c r="T26" s="105" t="str">
        <x:v>https://www.antler.co/location/india</x:v>
      </x:c>
      <x:c r="U26" s="109" t="d">
        <x:v>2026-10-20T00:00:00.000Z</x:v>
      </x:c>
      <x:c r="V26" s="105" t="str">
        <x:v>We have a live AI research product and early usage; interested in a direct investment conversation rather than a residency assumption.</x:v>
      </x:c>
      <x:c r="W26" s="115"/>
      <x:c r="X26" s="115"/>
      <x:c r="Y26" s="114" t="n">
        <x:v>0</x:v>
      </x:c>
      <x:c r="Z26" s="114" t="str"/>
      <x:c r="AA26" s="114" t="str"/>
      <x:c r="AB26" s="109" t="str">
        <x:f>IF(OR(K26="Passed",K26="Paused",K26="Committed",K26="Replied",K26="Meeting",K26="Diligence",K26="Do not contact",K26="Research needed",Z26&lt;&gt;"",Y26&gt;=2,W26=""),"",IF(X26="",W26,X26)+7)</x:f>
      </x:c>
      <x:c r="AC26" s="105" t="str">
        <x:v>INV21</x:v>
      </x:c>
    </x:row>
    <x:row r="27" ht="75" customHeight="1">
      <x:c r="A27" s="157" t="str">
        <x:v>3</x:v>
      </x:c>
      <x:c r="B27" s="157" t="str">
        <x:v>Neon Fund</x:v>
      </x:c>
      <x:c r="C27" s="157" t="str">
        <x:v>VC</x:v>
      </x:c>
      <x:c r="D27" s="105" t="str">
        <x:v>Not verified publicly</x:v>
      </x:c>
      <x:c r="E27" s="105" t="str">
        <x:v>Confirm</x:v>
      </x:c>
      <x:c r="F27" s="105" t="str">
        <x:v>Current-round candidate</x:v>
      </x:c>
      <x:c r="G27" s="105" t="str">
        <x:v>Early enterprise software and AI; US–Asia corridor.</x:v>
      </x:c>
      <x:c r="H27" s="105" t="str">
        <x:v>India-only initial market is less direct than US–Asia thesis; do not invent a global expansion commitment.</x:v>
      </x:c>
      <x:c r="I27" s="105" t="str">
        <x:v>No actual introducer recorded</x:v>
      </x:c>
      <x:c r="J27" s="105" t="str">
        <x:v>P3</x:v>
      </x:c>
      <x:c r="K27" s="114" t="str">
        <x:v>Not started</x:v>
      </x:c>
      <x:c r="L27" s="114" t="str">
        <x:v>Harsh</x:v>
      </x:c>
      <x:c r="M27" s="114" t="str">
        <x:v>Apply if the professional-software case is clear; state India-first scope.</x:v>
      </x:c>
      <x:c r="N27" s="115" t="d">
        <x:v>2026-11-04T00:00:00.000Z</x:v>
      </x:c>
      <x:c r="O27" s="114" t="str"/>
      <x:c r="P27" s="105" t="str">
        <x:v>Fund partners via application</x:v>
      </x:c>
      <x:c r="Q27" s="105" t="str"/>
      <x:c r="R27" s="105" t="str">
        <x:v>Official fund application</x:v>
      </x:c>
      <x:c r="S27" s="105" t="str">
        <x:v>https://neon.fund/fund-application-page/</x:v>
      </x:c>
      <x:c r="T27" s="105" t="str">
        <x:v>https://neon.fund/fund-application-page/</x:v>
      </x:c>
      <x:c r="U27" s="109" t="d">
        <x:v>2026-10-20T00:00:00.000Z</x:v>
      </x:c>
      <x:c r="V27" s="105" t="str">
        <x:v>Anvest is testing recurring software revenue from professional research teams with a shared data and AI layer.</x:v>
      </x:c>
      <x:c r="W27" s="115"/>
      <x:c r="X27" s="115"/>
      <x:c r="Y27" s="114" t="n">
        <x:v>0</x:v>
      </x:c>
      <x:c r="Z27" s="114" t="str"/>
      <x:c r="AA27" s="114" t="str"/>
      <x:c r="AB27" s="109" t="str">
        <x:f>IF(OR(K27="Passed",K27="Paused",K27="Committed",K27="Replied",K27="Meeting",K27="Diligence",K27="Do not contact",K27="Research needed",Z27&lt;&gt;"",Y27&gt;=2,W27=""),"",IF(X27="",W27,X27)+7)</x:f>
      </x:c>
      <x:c r="AC27" s="105" t="str">
        <x:v>INV22</x:v>
      </x:c>
    </x:row>
    <x:row r="28" ht="75" customHeight="1">
      <x:c r="A28" s="157" t="str">
        <x:v>3</x:v>
      </x:c>
      <x:c r="B28" s="157" t="str">
        <x:v>FortyTwo.VC</x:v>
      </x:c>
      <x:c r="C28" s="157" t="str">
        <x:v>VC</x:v>
      </x:c>
      <x:c r="D28" s="105" t="str">
        <x:v>Not verified publicly</x:v>
      </x:c>
      <x:c r="E28" s="105" t="str">
        <x:v>Confirm</x:v>
      </x:c>
      <x:c r="F28" s="105" t="str">
        <x:v>Current-round candidate</x:v>
      </x:c>
      <x:c r="G28" s="105" t="str">
        <x:v>Indian founders; enterprise tech/SaaS for global markets.</x:v>
      </x:c>
      <x:c r="H28" s="105" t="str">
        <x:v>Global-market thesis is not yet established for Anvest. Lower priority than India-focused pre-seed funds.</x:v>
      </x:c>
      <x:c r="I28" s="105" t="str">
        <x:v>No actual introducer recorded</x:v>
      </x:c>
      <x:c r="J28" s="105" t="str">
        <x:v>P3</x:v>
      </x:c>
      <x:c r="K28" s="114" t="str">
        <x:v>Not started</x:v>
      </x:c>
      <x:c r="L28" s="114" t="str">
        <x:v>Harsh</x:v>
      </x:c>
      <x:c r="M28" s="114" t="str">
        <x:v>Email only with an honest explanation of current India focus and expansion hypothesis.</x:v>
      </x:c>
      <x:c r="N28" s="115" t="d">
        <x:v>2026-11-05T00:00:00.000Z</x:v>
      </x:c>
      <x:c r="O28" s="114" t="str"/>
      <x:c r="P28" s="105" t="str">
        <x:v>Asutosh Upadhyay / Venu Reddy</x:v>
      </x:c>
      <x:c r="Q28" s="105" t="str">
        <x:v>deepthought@fortytwo.vc</x:v>
      </x:c>
      <x:c r="R28" s="105" t="str">
        <x:v>Published founder-contact email</x:v>
      </x:c>
      <x:c r="S28" s="105" t="str">
        <x:v>https://www.fortytwo.vc/#contact</x:v>
      </x:c>
      <x:c r="T28" s="105" t="str">
        <x:v>https://fortytwovc.substack.com/p/climate-equation-the-growing-role</x:v>
      </x:c>
      <x:c r="U28" s="109" t="d">
        <x:v>2026-10-20T00:00:00.000Z</x:v>
      </x:c>
      <x:c r="V28" s="105" t="str">
        <x:v>The source-grounded professional workflow is our software wedge; I would value your view on the eventual cross-border case.</x:v>
      </x:c>
      <x:c r="W28" s="115"/>
      <x:c r="X28" s="115"/>
      <x:c r="Y28" s="114" t="n">
        <x:v>0</x:v>
      </x:c>
      <x:c r="Z28" s="114" t="str"/>
      <x:c r="AA28" s="114" t="str"/>
      <x:c r="AB28" s="109" t="str">
        <x:f>IF(OR(K28="Passed",K28="Paused",K28="Committed",K28="Replied",K28="Meeting",K28="Diligence",K28="Do not contact",K28="Research needed",Z28&lt;&gt;"",Y28&gt;=2,W28=""),"",IF(X28="",W28,X28)+7)</x:f>
      </x:c>
      <x:c r="AC28" s="105" t="str">
        <x:v>INV23</x:v>
      </x:c>
    </x:row>
    <x:row r="29" ht="75" customHeight="1">
      <x:c r="A29" s="157" t="str">
        <x:v>3</x:v>
      </x:c>
      <x:c r="B29" s="157" t="str">
        <x:v>100X.VC</x:v>
      </x:c>
      <x:c r="C29" s="157" t="str">
        <x:v>VC / program</x:v>
      </x:c>
      <x:c r="D29" s="105" t="str">
        <x:v>Current cheque / terms not verified</x:v>
      </x:c>
      <x:c r="E29" s="105" t="str">
        <x:v>Confirm</x:v>
      </x:c>
      <x:c r="F29" s="105" t="str">
        <x:v>Current-round candidate</x:v>
      </x:c>
      <x:c r="G29" s="105" t="str">
        <x:v>Early-stage India SAFE-note investor.</x:v>
      </x:c>
      <x:c r="H29" s="105" t="str">
        <x:v>Email is from an older founder post; current homepage no longer exposes pitch route. Ask intake status before relying on historic class terms.</x:v>
      </x:c>
      <x:c r="I29" s="105" t="str">
        <x:v>No actual introducer recorded</x:v>
      </x:c>
      <x:c r="J29" s="105" t="str">
        <x:v>P3</x:v>
      </x:c>
      <x:c r="K29" s="114" t="str">
        <x:v>Not started</x:v>
      </x:c>
      <x:c r="L29" s="114" t="str">
        <x:v>Harsh</x:v>
      </x:c>
      <x:c r="M29" s="114" t="str">
        <x:v>Send short intake enquiry first; verify current cheque, ownership and program requirements.</x:v>
      </x:c>
      <x:c r="N29" s="115" t="d">
        <x:v>2026-11-05T00:00:00.000Z</x:v>
      </x:c>
      <x:c r="O29" s="114" t="str"/>
      <x:c r="P29" s="105" t="str">
        <x:v>Investment team</x:v>
      </x:c>
      <x:c r="Q29" s="105" t="str">
        <x:v>pitch@100x.vc</x:v>
      </x:c>
      <x:c r="R29" s="105" t="str">
        <x:v>Historically published pitch email; reconfirm current intake</x:v>
      </x:c>
      <x:c r="S29" s="105" t="str">
        <x:v>https://www.100x.vc/</x:v>
      </x:c>
      <x:c r="T29" s="105" t="str">
        <x:v>https://www.linkedin.com/posts/mehta-sanjay_email-details-to-pitch100xvc-activity-6824043496412852224-bK6o</x:v>
      </x:c>
      <x:c r="U29" s="109" t="d">
        <x:v>2026-10-20T00:00:00.000Z</x:v>
      </x:c>
      <x:c r="V29" s="105" t="str">
        <x:v>Anvest has an MVP with sourced financial research and is preparing its first professional revenue experiment.</x:v>
      </x:c>
      <x:c r="W29" s="115"/>
      <x:c r="X29" s="115"/>
      <x:c r="Y29" s="114" t="n">
        <x:v>0</x:v>
      </x:c>
      <x:c r="Z29" s="114" t="str"/>
      <x:c r="AA29" s="114" t="str"/>
      <x:c r="AB29" s="109" t="str">
        <x:f>IF(OR(K29="Passed",K29="Paused",K29="Committed",K29="Replied",K29="Meeting",K29="Diligence",K29="Do not contact",K29="Research needed",Z29&lt;&gt;"",Y29&gt;=2,W29=""),"",IF(X29="",W29,X29)+7)</x:f>
      </x:c>
      <x:c r="AC29" s="105" t="str">
        <x:v>INV24</x:v>
      </x:c>
    </x:row>
    <x:row r="30" ht="75" customHeight="1">
      <x:c r="A30" s="157" t="str">
        <x:v>3</x:v>
      </x:c>
      <x:c r="B30" s="157" t="str">
        <x:v>OTP Ventures</x:v>
      </x:c>
      <x:c r="C30" s="157" t="str">
        <x:v>VC</x:v>
      </x:c>
      <x:c r="D30" s="105" t="str">
        <x:v>Not verified publicly</x:v>
      </x:c>
      <x:c r="E30" s="105" t="str">
        <x:v>Confirm</x:v>
      </x:c>
      <x:c r="F30" s="105" t="str">
        <x:v>Current-round candidate</x:v>
      </x:c>
      <x:c r="G30" s="105" t="str">
        <x:v>Fintech is an explicit focus sector.</x:v>
      </x:c>
      <x:c r="H30" s="105" t="str">
        <x:v>Show institutional customer value; current buyer wedge differs from broad consumer-fintech platforms.</x:v>
      </x:c>
      <x:c r="I30" s="105" t="str">
        <x:v>No actual introducer recorded</x:v>
      </x:c>
      <x:c r="J30" s="105" t="str">
        <x:v>P3</x:v>
      </x:c>
      <x:c r="K30" s="114" t="str">
        <x:v>Not started</x:v>
      </x:c>
      <x:c r="L30" s="114" t="str">
        <x:v>Harsh</x:v>
      </x:c>
      <x:c r="M30" s="114" t="str">
        <x:v>Send targeted pitch or submit official form, not both at once.</x:v>
      </x:c>
      <x:c r="N30" s="115" t="d">
        <x:v>2026-11-06T00:00:00.000Z</x:v>
      </x:c>
      <x:c r="O30" s="114" t="str"/>
      <x:c r="P30" s="105" t="str">
        <x:v>Investment team</x:v>
      </x:c>
      <x:c r="Q30" s="105" t="str">
        <x:v>contact@otp.vc</x:v>
      </x:c>
      <x:c r="R30" s="105" t="str">
        <x:v>Official founder contact / deck upload</x:v>
      </x:c>
      <x:c r="S30" s="105" t="str">
        <x:v>https://otp.vc/contact/</x:v>
      </x:c>
      <x:c r="T30" s="105" t="str">
        <x:v>https://otp.vc/contact/</x:v>
      </x:c>
      <x:c r="U30" s="109" t="d">
        <x:v>2026-10-20T00:00:00.000Z</x:v>
      </x:c>
      <x:c r="V30" s="105" t="str">
        <x:v>Anvest serves the research work of Indian investment professionals with filing-cited answers and shared workflow tools.</x:v>
      </x:c>
      <x:c r="W30" s="115"/>
      <x:c r="X30" s="115"/>
      <x:c r="Y30" s="114" t="n">
        <x:v>0</x:v>
      </x:c>
      <x:c r="Z30" s="114" t="str"/>
      <x:c r="AA30" s="114" t="str"/>
      <x:c r="AB30" s="109" t="str">
        <x:f>IF(OR(K30="Passed",K30="Paused",K30="Committed",K30="Replied",K30="Meeting",K30="Diligence",K30="Do not contact",K30="Research needed",Z30&lt;&gt;"",Y30&gt;=2,W30=""),"",IF(X30="",W30,X30)+7)</x:f>
      </x:c>
      <x:c r="AC30" s="105" t="str">
        <x:v>INV25</x:v>
      </x:c>
    </x:row>
    <x:row r="31" ht="75" customHeight="1">
      <x:c r="A31" s="157" t="str">
        <x:v>3</x:v>
      </x:c>
      <x:c r="B31" s="157" t="str">
        <x:v>Huddle Ventures (India)</x:v>
      </x:c>
      <x:c r="C31" s="157" t="str">
        <x:v>VC / accelerator</x:v>
      </x:c>
      <x:c r="D31" s="105" t="str">
        <x:v>Not verified publicly</x:v>
      </x:c>
      <x:c r="E31" s="105" t="str">
        <x:v>Confirm</x:v>
      </x:c>
      <x:c r="F31" s="105" t="str">
        <x:v>Current-round candidate</x:v>
      </x:c>
      <x:c r="G31" s="105" t="str">
        <x:v>Early-stage fund / accelerator; commerce-led focus on current homepage.</x:v>
      </x:c>
      <x:c r="H31" s="105" t="str">
        <x:v>Lower fit than fintech specialists. Official HTML links form; research browser returned 403. Do not confuse with huddleventures.co or Huddle software.</x:v>
      </x:c>
      <x:c r="I31" s="105" t="str">
        <x:v>No actual introducer recorded</x:v>
      </x:c>
      <x:c r="J31" s="105" t="str">
        <x:v>P3</x:v>
      </x:c>
      <x:c r="K31" s="114" t="str">
        <x:v>Not started</x:v>
      </x:c>
      <x:c r="L31" s="114" t="str">
        <x:v>Harsh</x:v>
      </x:c>
      <x:c r="M31" s="114" t="str">
        <x:v>Confirm current sector fit via official application before spending time on a full process.</x:v>
      </x:c>
      <x:c r="N31" s="115" t="d">
        <x:v>2026-11-06T00:00:00.000Z</x:v>
      </x:c>
      <x:c r="O31" s="114" t="str"/>
      <x:c r="P31" s="105" t="str">
        <x:v>Investment team via official application</x:v>
      </x:c>
      <x:c r="Q31" s="105" t="str"/>
      <x:c r="R31" s="105" t="str">
        <x:v>Official Apply now link</x:v>
      </x:c>
      <x:c r="S31" s="105" t="str">
        <x:v>https://sarthakr.typeform.com/to/m25eAios</x:v>
      </x:c>
      <x:c r="T31" s="105" t="str">
        <x:v>https://huddle.work/</x:v>
      </x:c>
      <x:c r="U31" s="109" t="d">
        <x:v>2026-10-20T00:00:00.000Z</x:v>
      </x:c>
      <x:c r="V31" s="105" t="str">
        <x:v>We are testing a professional software revenue channel; assess whether this sits within your current mandate.</x:v>
      </x:c>
      <x:c r="W31" s="115"/>
      <x:c r="X31" s="115"/>
      <x:c r="Y31" s="114" t="n">
        <x:v>0</x:v>
      </x:c>
      <x:c r="Z31" s="114" t="str"/>
      <x:c r="AA31" s="114" t="str"/>
      <x:c r="AB31" s="109" t="str">
        <x:f>IF(OR(K31="Passed",K31="Paused",K31="Committed",K31="Replied",K31="Meeting",K31="Diligence",K31="Do not contact",K31="Research needed",Z31&lt;&gt;"",Y31&gt;=2,W31=""),"",IF(X31="",W31,X31)+7)</x:f>
      </x:c>
      <x:c r="AC31" s="105" t="str">
        <x:v>INV26</x:v>
      </x:c>
    </x:row>
    <x:row r="32" ht="75" customHeight="1">
      <x:c r="A32" s="158" t="str">
        <x:v>Network</x:v>
      </x:c>
      <x:c r="B32" s="158" t="str">
        <x:v>IAN Group / Indian Angel Network</x:v>
      </x:c>
      <x:c r="C32" s="158" t="str">
        <x:v>Angel network</x:v>
      </x:c>
      <x:c r="D32" s="105" t="str">
        <x:v>Not verified publicly</x:v>
      </x:c>
      <x:c r="E32" s="105" t="str">
        <x:v>Member/sponsor dependent</x:v>
      </x:c>
      <x:c r="F32" s="105" t="str">
        <x:v>Network</x:v>
      </x:c>
      <x:c r="G32" s="105" t="str">
        <x:v>Angel network; official funding submission route.</x:v>
      </x:c>
      <x:c r="H32" s="105" t="str">
        <x:v>Not a single committed cheque; sponsorship, member interest and economics must be confirmed.</x:v>
      </x:c>
      <x:c r="I32" s="105" t="str">
        <x:v>No actual introducer recorded</x:v>
      </x:c>
      <x:c r="J32" s="105" t="str">
        <x:v>Network</x:v>
      </x:c>
      <x:c r="K32" s="114" t="str">
        <x:v>Not started</x:v>
      </x:c>
      <x:c r="L32" s="114" t="str">
        <x:v>Harsh</x:v>
      </x:c>
      <x:c r="M32" s="114" t="str">
        <x:v>Use business-plan link; secure named sponsor if possible. Do not pitch membership/media inboxes.</x:v>
      </x:c>
      <x:c r="N32" s="115" t="d">
        <x:v>2026-10-29T00:00:00.000Z</x:v>
      </x:c>
      <x:c r="O32" s="114" t="str"/>
      <x:c r="P32" s="105" t="str">
        <x:v>Secretariat; regional contact if routed</x:v>
      </x:c>
      <x:c r="Q32" s="105" t="str"/>
      <x:c r="R32" s="105" t="str">
        <x:v>Official Share your business plan entry</x:v>
      </x:c>
      <x:c r="S32" s="105" t="str">
        <x:v>https://iangroup.vc/contact-us-2/</x:v>
      </x:c>
      <x:c r="T32" s="105" t="str">
        <x:v>https://iangroup.vc/contact-us-2/</x:v>
      </x:c>
      <x:c r="U32" s="109" t="d">
        <x:v>2026-10-20T00:00:00.000Z</x:v>
      </x:c>
      <x:c r="V32" s="105" t="str">
        <x:v>Seek a member who understands research software and can sponsor a professional-market pitch.</x:v>
      </x:c>
      <x:c r="W32" s="115"/>
      <x:c r="X32" s="115"/>
      <x:c r="Y32" s="114" t="n">
        <x:v>0</x:v>
      </x:c>
      <x:c r="Z32" s="114" t="str"/>
      <x:c r="AA32" s="114" t="str"/>
      <x:c r="AB32" s="109" t="str">
        <x:f>IF(OR(K32="Passed",K32="Paused",K32="Committed",K32="Replied",K32="Meeting",K32="Diligence",K32="Do not contact",K32="Research needed",Z32&lt;&gt;"",Y32&gt;=2,W32=""),"",IF(X32="",W32,X32)+7)</x:f>
      </x:c>
      <x:c r="AC32" s="105" t="str">
        <x:v>INV27</x:v>
      </x:c>
    </x:row>
    <x:row r="33" ht="75" customHeight="1">
      <x:c r="A33" s="158" t="str">
        <x:v>Network</x:v>
      </x:c>
      <x:c r="B33" s="158" t="str">
        <x:v>LVX (formerly LetsVenture)</x:v>
      </x:c>
      <x:c r="C33" s="158" t="str">
        <x:v>Platform / network</x:v>
      </x:c>
      <x:c r="D33" s="105" t="str">
        <x:v>Platform; not a promised cheque</x:v>
      </x:c>
      <x:c r="E33" s="105" t="str">
        <x:v>Find a named investor lead</x:v>
      </x:c>
      <x:c r="F33" s="105" t="str">
        <x:v>Network</x:v>
      </x:c>
      <x:c r="G33" s="105" t="str">
        <x:v>Founder fundraising platform / syndicate access.</x:v>
      </x:c>
      <x:c r="H33" s="105" t="str">
        <x:v>LetsVenture redirects to LVX. Platform signup is not investor commitment or a substitute for a lead.</x:v>
      </x:c>
      <x:c r="I33" s="105" t="str">
        <x:v>No actual introducer recorded</x:v>
      </x:c>
      <x:c r="J33" s="105" t="str">
        <x:v>Network</x:v>
      </x:c>
      <x:c r="K33" s="114" t="str">
        <x:v>Not started</x:v>
      </x:c>
      <x:c r="L33" s="114" t="str">
        <x:v>Harsh</x:v>
      </x:c>
      <x:c r="M33" s="114" t="str">
        <x:v>Create founder profile after direct lead outreach; verify fees, eligibility and terms before engagement.</x:v>
      </x:c>
      <x:c r="N33" s="115" t="d">
        <x:v>2026-10-29T00:00:00.000Z</x:v>
      </x:c>
      <x:c r="O33" s="114" t="str"/>
      <x:c r="P33" s="105" t="str">
        <x:v>Founder fundraising team</x:v>
      </x:c>
      <x:c r="Q33" s="105" t="str"/>
      <x:c r="R33" s="105" t="str">
        <x:v>Official Raise Funds for My Startup signup</x:v>
      </x:c>
      <x:c r="S33" s="105" t="str">
        <x:v>https://lvxventures.com/founders</x:v>
      </x:c>
      <x:c r="T33" s="105" t="str">
        <x:v>https://www.letsventure.com/founders</x:v>
      </x:c>
      <x:c r="U33" s="109" t="d">
        <x:v>2026-10-20T00:00:00.000Z</x:v>
      </x:c>
      <x:c r="V33" s="105" t="str">
        <x:v>Use a profile and named lead to coordinate angel interest around the same round.</x:v>
      </x:c>
      <x:c r="W33" s="115"/>
      <x:c r="X33" s="115"/>
      <x:c r="Y33" s="114" t="n">
        <x:v>0</x:v>
      </x:c>
      <x:c r="Z33" s="114" t="str"/>
      <x:c r="AA33" s="114" t="str"/>
      <x:c r="AB33" s="109" t="str">
        <x:f>IF(OR(K33="Passed",K33="Paused",K33="Committed",K33="Replied",K33="Meeting",K33="Diligence",K33="Do not contact",K33="Research needed",Z33&lt;&gt;"",Y33&gt;=2,W33=""),"",IF(X33="",W33,X33)+7)</x:f>
      </x:c>
      <x:c r="AC33" s="105" t="str">
        <x:v>INV28</x:v>
      </x:c>
    </x:row>
    <x:row r="34" ht="75" customHeight="1">
      <x:c r="A34" s="158" t="str">
        <x:v>Network</x:v>
      </x:c>
      <x:c r="B34" s="158" t="str">
        <x:v>AngelList India</x:v>
      </x:c>
      <x:c r="C34" s="158" t="str">
        <x:v>Platform</x:v>
      </x:c>
      <x:c r="D34" s="105" t="str">
        <x:v>Platform / vehicle; not a fund cheque</x:v>
      </x:c>
      <x:c r="E34" s="105" t="str">
        <x:v>No, platform alone</x:v>
      </x:c>
      <x:c r="F34" s="105" t="str">
        <x:v>Network</x:v>
      </x:c>
      <x:c r="G34" s="105" t="str">
        <x:v>Syndicates and roll-up vehicles for investor coordination.</x:v>
      </x:c>
      <x:c r="H34" s="105" t="str">
        <x:v>Do not mistake platform service team for an investor. US AngelList startup sales form explicitly does not accept funding applications.</x:v>
      </x:c>
      <x:c r="I34" s="105" t="str">
        <x:v>No actual introducer recorded</x:v>
      </x:c>
      <x:c r="J34" s="105" t="str">
        <x:v>Network</x:v>
      </x:c>
      <x:c r="K34" s="114" t="str">
        <x:v>Not started</x:v>
      </x:c>
      <x:c r="L34" s="114" t="str">
        <x:v>Harsh</x:v>
      </x:c>
      <x:c r="M34" s="114" t="str">
        <x:v>Use only when a syndicate lead or angel interest exists; confirm costs and eligibility.</x:v>
      </x:c>
      <x:c r="N34" s="115" t="d">
        <x:v>2026-11-09T00:00:00.000Z</x:v>
      </x:c>
      <x:c r="O34" s="114" t="str"/>
      <x:c r="P34" s="105" t="str">
        <x:v>Platform team / named syndicate lead</x:v>
      </x:c>
      <x:c r="Q34" s="105" t="str"/>
      <x:c r="R34" s="105" t="str">
        <x:v>Official Talk to an Expert for vehicle / platform discussion</x:v>
      </x:c>
      <x:c r="S34" s="105" t="str">
        <x:v>https://www.angellistindia.com/</x:v>
      </x:c>
      <x:c r="T34" s="105" t="str">
        <x:v>https://www.angellistindia.com/</x:v>
      </x:c>
      <x:c r="U34" s="109" t="d">
        <x:v>2026-10-20T00:00:00.000Z</x:v>
      </x:c>
      <x:c r="V34" s="105" t="str">
        <x:v>Potential administration route if several angels want to join; first identify actual investors.</x:v>
      </x:c>
      <x:c r="W34" s="115"/>
      <x:c r="X34" s="115"/>
      <x:c r="Y34" s="114" t="n">
        <x:v>0</x:v>
      </x:c>
      <x:c r="Z34" s="114" t="str"/>
      <x:c r="AA34" s="114" t="str"/>
      <x:c r="AB34" s="109" t="str">
        <x:f>IF(OR(K34="Passed",K34="Paused",K34="Committed",K34="Replied",K34="Meeting",K34="Diligence",K34="Do not contact",K34="Research needed",Z34&lt;&gt;"",Y34&gt;=2,W34=""),"",IF(X34="",W34,X34)+7)</x:f>
      </x:c>
      <x:c r="AC34" s="105" t="str">
        <x:v>INV29</x:v>
      </x:c>
    </x:row>
    <x:row r="35" ht="75" customHeight="1">
      <x:c r="A35" s="158" t="str">
        <x:v>Program</x:v>
      </x:c>
      <x:c r="B35" s="158" t="str">
        <x:v>Y Combinator — Winter 2027</x:v>
      </x:c>
      <x:c r="C35" s="158" t="str">
        <x:v>Accelerator</x:v>
      </x:c>
      <x:c r="D35" s="105" t="str">
        <x:v>Use program's current standard deal, separately from proposed round</x:v>
      </x:c>
      <x:c r="E35" s="105" t="str">
        <x:v>Program-specific</x:v>
      </x:c>
      <x:c r="F35" s="105" t="str">
        <x:v>Program</x:v>
      </x:c>
      <x:c r="G35" s="105" t="str">
        <x:v>Early-stage program; applications open.</x:v>
      </x:c>
      <x:c r="H35" s="105" t="str">
        <x:v>Official deadline 2 Nov 2026, 8pm PT = 3 Nov, 9:30am IST. Jan–Mar SF in-person batch; availability and standard deal need founder decision.</x:v>
      </x:c>
      <x:c r="I35" s="105" t="str">
        <x:v>No actual introducer recorded</x:v>
      </x:c>
      <x:c r="J35" s="105" t="str">
        <x:v>Program</x:v>
      </x:c>
      <x:c r="K35" s="114" t="str">
        <x:v>Not started</x:v>
      </x:c>
      <x:c r="L35" s="114" t="str">
        <x:v>Harsh</x:v>
      </x:c>
      <x:c r="M35" s="114" t="str">
        <x:v>Decide participation and prepare application by 30 Oct; do not send cold deck to application-support email.</x:v>
      </x:c>
      <x:c r="N35" s="115" t="d">
        <x:v>2026-10-30T00:00:00.000Z</x:v>
      </x:c>
      <x:c r="O35" s="114" t="str"/>
      <x:c r="P35" s="105" t="str">
        <x:v>Application team</x:v>
      </x:c>
      <x:c r="Q35" s="105" t="str">
        <x:v>apply@ycombinator.com</x:v>
      </x:c>
      <x:c r="R35" s="105" t="str">
        <x:v>Online application; email for questions only</x:v>
      </x:c>
      <x:c r="S35" s="105" t="str">
        <x:v>https://www.ycombinator.com/apply</x:v>
      </x:c>
      <x:c r="T35" s="105" t="str">
        <x:v>https://www.ycombinator.com/apply</x:v>
      </x:c>
      <x:c r="U35" s="109" t="d">
        <x:v>2026-10-20T00:00:00.000Z</x:v>
      </x:c>
      <x:c r="V35" s="105" t="str">
        <x:v>Show the working product, technical founder and a clear recurring professional problem.</x:v>
      </x:c>
      <x:c r="W35" s="115"/>
      <x:c r="X35" s="115"/>
      <x:c r="Y35" s="114" t="n">
        <x:v>0</x:v>
      </x:c>
      <x:c r="Z35" s="114" t="str"/>
      <x:c r="AA35" s="114" t="str"/>
      <x:c r="AB35" s="109" t="str">
        <x:f>IF(OR(K35="Passed",K35="Paused",K35="Committed",K35="Replied",K35="Meeting",K35="Diligence",K35="Do not contact",K35="Research needed",Z35&lt;&gt;"",Y35&gt;=2,W35=""),"",IF(X35="",W35,X35)+7)</x:f>
      </x:c>
      <x:c r="AC35" s="105" t="str">
        <x:v>INV30</x:v>
      </x:c>
    </x:row>
    <x:row r="36" ht="75" customHeight="1">
      <x:c r="A36" s="158" t="str">
        <x:v>Later</x:v>
      </x:c>
      <x:c r="B36" s="158" t="str">
        <x:v>Sparrow Capital</x:v>
      </x:c>
      <x:c r="C36" s="158" t="str">
        <x:v>VC</x:v>
      </x:c>
      <x:c r="D36" s="105" t="str">
        <x:v>$1M–$2M</x:v>
      </x:c>
      <x:c r="E36" s="105" t="str">
        <x:v>Confirm; current round mismatch</x:v>
      </x:c>
      <x:c r="F36" s="105" t="str">
        <x:v>Later</x:v>
      </x:c>
      <x:c r="G36" s="105" t="str">
        <x:v>Seed; fintech and enterprise software categories.</x:v>
      </x:c>
      <x:c r="H36" s="105" t="str">
        <x:v>Cheque/round mismatch. Media and LP-relations inboxes are not pitch contacts. Distinct from US Sparrow Capital Management.</x:v>
      </x:c>
      <x:c r="I36" s="105" t="str">
        <x:v>No actual introducer recorded</x:v>
      </x:c>
      <x:c r="J36" s="105" t="str">
        <x:v>Later</x:v>
      </x:c>
      <x:c r="K36" s="114" t="str">
        <x:v>Paused</x:v>
      </x:c>
      <x:c r="L36" s="114" t="str">
        <x:v>Harsh</x:v>
      </x:c>
      <x:c r="M36" s="114" t="str">
        <x:v>Relationship or co-investment enquiry through an actual introduction; lower priority for current lead.</x:v>
      </x:c>
      <x:c r="N36" s="115"/>
      <x:c r="O36" s="114" t="str"/>
      <x:c r="P36" s="105" t="str">
        <x:v>Yash Jain / Aakash Goyal via genuine introduction</x:v>
      </x:c>
      <x:c r="Q36" s="105" t="str"/>
      <x:c r="R36" s="105" t="str">
        <x:v>Team social links / warm introduction</x:v>
      </x:c>
      <x:c r="S36" s="105" t="str">
        <x:v>https://sparrowvc.com/</x:v>
      </x:c>
      <x:c r="T36" s="105" t="str">
        <x:v>https://sparrowvc.com/</x:v>
      </x:c>
      <x:c r="U36" s="109" t="d">
        <x:v>2026-10-20T00:00:00.000Z</x:v>
      </x:c>
      <x:c r="V36" s="105" t="str">
        <x:v>Professional research software may fit, but our present $500K round is below your published range.</x:v>
      </x:c>
      <x:c r="W36" s="115"/>
      <x:c r="X36" s="115"/>
      <x:c r="Y36" s="114" t="n">
        <x:v>0</x:v>
      </x:c>
      <x:c r="Z36" s="114" t="str"/>
      <x:c r="AA36" s="114" t="str"/>
      <x:c r="AB36" s="109" t="str">
        <x:f>IF(OR(K36="Passed",K36="Paused",K36="Committed",K36="Replied",K36="Meeting",K36="Diligence",K36="Do not contact",K36="Research needed",Z36&lt;&gt;"",Y36&gt;=2,W36=""),"",IF(X36="",W36,X36)+7)</x:f>
      </x:c>
      <x:c r="AC36" s="105" t="str">
        <x:v>INV31</x:v>
      </x:c>
    </x:row>
    <x:row r="37" ht="75" customHeight="1">
      <x:c r="A37" s="158" t="str">
        <x:v>Later</x:v>
      </x:c>
      <x:c r="B37" s="158" t="str">
        <x:v>Blume Ventures</x:v>
      </x:c>
      <x:c r="C37" s="158" t="str">
        <x:v>VC</x:v>
      </x:c>
      <x:c r="D37" s="105" t="str">
        <x:v>Typically $1.5M–$3M</x:v>
      </x:c>
      <x:c r="E37" s="105" t="str">
        <x:v>Current round below typical range</x:v>
      </x:c>
      <x:c r="F37" s="105" t="str">
        <x:v>Later</x:v>
      </x:c>
      <x:c r="G37" s="105" t="str">
        <x:v>Seed / pre-Series A; software and fintech.</x:v>
      </x:c>
      <x:c r="H37" s="105" t="str">
        <x:v>Public B2B guidance suggests $375K annualized revenue; exceptions exist. No common pitch inbox/form. Do not use finance, media or LP contacts.</x:v>
      </x:c>
      <x:c r="I37" s="105" t="str">
        <x:v>No actual introducer recorded</x:v>
      </x:c>
      <x:c r="J37" s="105" t="str">
        <x:v>Later</x:v>
      </x:c>
      <x:c r="K37" s="114" t="str">
        <x:v>Paused</x:v>
      </x:c>
      <x:c r="L37" s="114" t="str">
        <x:v>Harsh</x:v>
      </x:c>
      <x:c r="M37" s="114" t="str">
        <x:v>Relationship note if a genuine introduction exists; otherwise revisit after customer evidence.</x:v>
      </x:c>
      <x:c r="N37" s="115"/>
      <x:c r="O37" s="114" t="str"/>
      <x:c r="P37" s="105" t="str">
        <x:v>Relevant investment team member via official team/social links</x:v>
      </x:c>
      <x:c r="Q37" s="105" t="str"/>
      <x:c r="R37" s="105" t="str">
        <x:v>Warm introduction preferred; individual investor contact only</x:v>
      </x:c>
      <x:c r="S37" s="105" t="str">
        <x:v>https://blume.vc/</x:v>
      </x:c>
      <x:c r="T37" s="105" t="str">
        <x:v>https://blume.vc/</x:v>
      </x:c>
      <x:c r="U37" s="109" t="d">
        <x:v>2026-10-20T00:00:00.000Z</x:v>
      </x:c>
      <x:c r="V37" s="105" t="str">
        <x:v>Build a relationship around professional research demand; return with recurring revenue evidence.</x:v>
      </x:c>
      <x:c r="W37" s="115"/>
      <x:c r="X37" s="115"/>
      <x:c r="Y37" s="114" t="n">
        <x:v>0</x:v>
      </x:c>
      <x:c r="Z37" s="114" t="str"/>
      <x:c r="AA37" s="114" t="str"/>
      <x:c r="AB37" s="109" t="str">
        <x:f>IF(OR(K37="Passed",K37="Paused",K37="Committed",K37="Replied",K37="Meeting",K37="Diligence",K37="Do not contact",K37="Research needed",Z37&lt;&gt;"",Y37&gt;=2,W37=""),"",IF(X37="",W37,X37)+7)</x:f>
      </x:c>
      <x:c r="AC37" s="105" t="str">
        <x:v>INV32</x:v>
      </x:c>
    </x:row>
    <x:row r="38" ht="75" customHeight="1">
      <x:c r="A38" s="158" t="str">
        <x:v>Later</x:v>
      </x:c>
      <x:c r="B38" s="158" t="str">
        <x:v>Bertelsmann India Investments</x:v>
      </x:c>
      <x:c r="C38" s="158" t="str">
        <x:v>VC</x:v>
      </x:c>
      <x:c r="D38" s="105" t="str">
        <x:v>Not verified publicly</x:v>
      </x:c>
      <x:c r="E38" s="105" t="str">
        <x:v>Later stage</x:v>
      </x:c>
      <x:c r="F38" s="105" t="str">
        <x:v>Later</x:v>
      </x:c>
      <x:c r="G38" s="105" t="str">
        <x:v>Early growth; lower fit for pre-revenue round.</x:v>
      </x:c>
      <x:c r="H38" s="105" t="str">
        <x:v>Stage mismatch; do not spend first-wave time here.</x:v>
      </x:c>
      <x:c r="I38" s="105" t="str">
        <x:v>No actual introducer recorded</x:v>
      </x:c>
      <x:c r="J38" s="105" t="str">
        <x:v>Later</x:v>
      </x:c>
      <x:c r="K38" s="114" t="str">
        <x:v>Paused</x:v>
      </x:c>
      <x:c r="L38" s="114" t="str">
        <x:v>Harsh</x:v>
      </x:c>
      <x:c r="M38" s="114" t="str">
        <x:v>Defer current equity pitch; use real mutual contact for relationship if useful.</x:v>
      </x:c>
      <x:c r="N38" s="115"/>
      <x:c r="O38" s="114" t="str"/>
      <x:c r="P38" s="105" t="str">
        <x:v>Investment team</x:v>
      </x:c>
      <x:c r="Q38" s="105" t="str">
        <x:v>Info@bertelsmannindia.com</x:v>
      </x:c>
      <x:c r="R38" s="105" t="str">
        <x:v>Official general inbox</x:v>
      </x:c>
      <x:c r="S38" s="105" t="str">
        <x:v>https://www.biifund.com/</x:v>
      </x:c>
      <x:c r="T38" s="105" t="str">
        <x:v>https://www.biifund.com/</x:v>
      </x:c>
      <x:c r="U38" s="109" t="d">
        <x:v>2026-10-20T00:00:00.000Z</x:v>
      </x:c>
      <x:c r="V38" s="105" t="str">
        <x:v>Research and wealth software adjacency; revisit with repeatable paid adoption.</x:v>
      </x:c>
      <x:c r="W38" s="115"/>
      <x:c r="X38" s="115"/>
      <x:c r="Y38" s="114" t="n">
        <x:v>0</x:v>
      </x:c>
      <x:c r="Z38" s="114" t="str"/>
      <x:c r="AA38" s="114" t="str"/>
      <x:c r="AB38" s="109" t="str">
        <x:f>IF(OR(K38="Passed",K38="Paused",K38="Committed",K38="Replied",K38="Meeting",K38="Diligence",K38="Do not contact",K38="Research needed",Z38&lt;&gt;"",Y38&gt;=2,W38=""),"",IF(X38="",W38,X38)+7)</x:f>
      </x:c>
      <x:c r="AC38" s="105" t="str">
        <x:v>INV33</x:v>
      </x:c>
    </x:row>
    <x:row r="39" ht="75" customHeight="1">
      <x:c r="A39" s="158" t="str">
        <x:v>Later</x:v>
      </x:c>
      <x:c r="B39" s="158" t="str">
        <x:v>Fundamentum</x:v>
      </x:c>
      <x:c r="C39" s="158" t="str">
        <x:v>VC</x:v>
      </x:c>
      <x:c r="D39" s="105" t="str">
        <x:v>Not verified publicly</x:v>
      </x:c>
      <x:c r="E39" s="105" t="str">
        <x:v>Later stage</x:v>
      </x:c>
      <x:c r="F39" s="105" t="str">
        <x:v>Later</x:v>
      </x:c>
      <x:c r="G39" s="105" t="str">
        <x:v>Scale-up fund; current round poor fit.</x:v>
      </x:c>
      <x:c r="H39" s="105" t="str">
        <x:v>Do not contact for current $500K lead unless referred with explicit stage exception.</x:v>
      </x:c>
      <x:c r="I39" s="105" t="str">
        <x:v>No actual introducer recorded</x:v>
      </x:c>
      <x:c r="J39" s="105" t="str">
        <x:v>Later</x:v>
      </x:c>
      <x:c r="K39" s="114" t="str">
        <x:v>Paused</x:v>
      </x:c>
      <x:c r="L39" s="114" t="str">
        <x:v>Harsh</x:v>
      </x:c>
      <x:c r="M39" s="114" t="str">
        <x:v>Defer.</x:v>
      </x:c>
      <x:c r="N39" s="115"/>
      <x:c r="O39" s="114" t="str"/>
      <x:c r="P39" s="105" t="str">
        <x:v>Investment team</x:v>
      </x:c>
      <x:c r="Q39" s="105" t="str">
        <x:v>contact@fundamentum.co.in</x:v>
      </x:c>
      <x:c r="R39" s="105" t="str">
        <x:v>Official general contact</x:v>
      </x:c>
      <x:c r="S39" s="105" t="str">
        <x:v>https://www.fundamentum.co.in/index.html</x:v>
      </x:c>
      <x:c r="T39" s="105" t="str">
        <x:v>https://www.fundamentum.co.in/index.html</x:v>
      </x:c>
      <x:c r="U39" s="109" t="d">
        <x:v>2026-10-20T00:00:00.000Z</x:v>
      </x:c>
      <x:c r="V39" s="105" t="str">
        <x:v>Revisit after commercial scale, rather than presenting a pre-revenue seed ask as a scale-up round.</x:v>
      </x:c>
      <x:c r="W39" s="115"/>
      <x:c r="X39" s="115"/>
      <x:c r="Y39" s="114" t="n">
        <x:v>0</x:v>
      </x:c>
      <x:c r="Z39" s="114" t="str"/>
      <x:c r="AA39" s="114" t="str"/>
      <x:c r="AB39" s="109" t="str">
        <x:f>IF(OR(K39="Passed",K39="Paused",K39="Committed",K39="Replied",K39="Meeting",K39="Diligence",K39="Do not contact",K39="Research needed",Z39&lt;&gt;"",Y39&gt;=2,W39=""),"",IF(X39="",W39,X39)+7)</x:f>
      </x:c>
      <x:c r="AC39" s="105" t="str">
        <x:v>INV34</x:v>
      </x:c>
    </x:row>
    <x:row r="40" ht="75" customHeight="1">
      <x:c r="A40" s="158" t="str">
        <x:v>Later</x:v>
      </x:c>
      <x:c r="B40" s="158" t="str">
        <x:v>Vertex Ventures Southeast Asia &amp; India</x:v>
      </x:c>
      <x:c r="C40" s="158" t="str">
        <x:v>VC</x:v>
      </x:c>
      <x:c r="D40" s="105" t="str">
        <x:v>Not verified publicly</x:v>
      </x:c>
      <x:c r="E40" s="105" t="str">
        <x:v>Confirm</x:v>
      </x:c>
      <x:c r="F40" s="105" t="str">
        <x:v>Later</x:v>
      </x:c>
      <x:c r="G40" s="105" t="str">
        <x:v>Regional venture fund; revisit professional customer evidence.</x:v>
      </x:c>
      <x:c r="H40" s="105" t="str">
        <x:v>Website directs funding to form, not recruitment, media or ESG inboxes. Present round/stage fit needs confirmation.</x:v>
      </x:c>
      <x:c r="I40" s="105" t="str">
        <x:v>No actual introducer recorded</x:v>
      </x:c>
      <x:c r="J40" s="105" t="str">
        <x:v>Later</x:v>
      </x:c>
      <x:c r="K40" s="114" t="str">
        <x:v>Paused</x:v>
      </x:c>
      <x:c r="L40" s="114" t="str">
        <x:v>Harsh</x:v>
      </x:c>
      <x:c r="M40" s="114" t="str">
        <x:v>Use Pitch to Us if a warm intro or stronger commercial evidence supports prioritizing now.</x:v>
      </x:c>
      <x:c r="N40" s="115"/>
      <x:c r="O40" s="114" t="str"/>
      <x:c r="P40" s="105" t="str">
        <x:v>India investment team</x:v>
      </x:c>
      <x:c r="Q40" s="105" t="str"/>
      <x:c r="R40" s="105" t="str">
        <x:v>Official Pitch to Us entry</x:v>
      </x:c>
      <x:c r="S40" s="105" t="str">
        <x:v>https://www.vertexventures.sg/contact/</x:v>
      </x:c>
      <x:c r="T40" s="105" t="str">
        <x:v>https://www.vertexventures.sg/contact/</x:v>
      </x:c>
      <x:c r="U40" s="109" t="d">
        <x:v>2026-10-20T00:00:00.000Z</x:v>
      </x:c>
      <x:c r="V40" s="105" t="str">
        <x:v>Indian professional software and fintech distribution could become relevant as paid demand is established.</x:v>
      </x:c>
      <x:c r="W40" s="115"/>
      <x:c r="X40" s="115"/>
      <x:c r="Y40" s="114" t="n">
        <x:v>0</x:v>
      </x:c>
      <x:c r="Z40" s="114" t="str"/>
      <x:c r="AA40" s="114" t="str"/>
      <x:c r="AB40" s="109" t="str">
        <x:f>IF(OR(K40="Passed",K40="Paused",K40="Committed",K40="Replied",K40="Meeting",K40="Diligence",K40="Do not contact",K40="Research needed",Z40&lt;&gt;"",Y40&gt;=2,W40=""),"",IF(X40="",W40,X40)+7)</x:f>
      </x:c>
      <x:c r="AC40" s="105" t="str">
        <x:v>INV35</x:v>
      </x:c>
    </x:row>
    <x:row r="41" ht="75" customHeight="1">
      <x:c r="A41" s="158" t="str">
        <x:v>Later</x:v>
      </x:c>
      <x:c r="B41" s="158" t="str">
        <x:v>Arkam Ventures</x:v>
      </x:c>
      <x:c r="C41" s="158" t="str">
        <x:v>VC</x:v>
      </x:c>
      <x:c r="D41" s="105" t="str">
        <x:v>Not verified publicly</x:v>
      </x:c>
      <x:c r="E41" s="105" t="str">
        <x:v>Confirm</x:v>
      </x:c>
      <x:c r="F41" s="105" t="str">
        <x:v>Later</x:v>
      </x:c>
      <x:c r="G41" s="105" t="str">
        <x:v>Indian digital-business investing; fintech adjacency.</x:v>
      </x:c>
      <x:c r="H41" s="105" t="str">
        <x:v>Current pre-revenue fit not established. Distinct from arkam.com fintech vendor.</x:v>
      </x:c>
      <x:c r="I41" s="105" t="str">
        <x:v>No actual introducer recorded</x:v>
      </x:c>
      <x:c r="J41" s="105" t="str">
        <x:v>Later</x:v>
      </x:c>
      <x:c r="K41" s="114" t="str">
        <x:v>Paused</x:v>
      </x:c>
      <x:c r="L41" s="114" t="str">
        <x:v>Harsh</x:v>
      </x:c>
      <x:c r="M41" s="114" t="str">
        <x:v>Lower-priority enquiry after first three waves or a relevant introduction.</x:v>
      </x:c>
      <x:c r="N41" s="115"/>
      <x:c r="O41" s="114" t="str"/>
      <x:c r="P41" s="105" t="str">
        <x:v>Investment team</x:v>
      </x:c>
      <x:c r="Q41" s="105" t="str">
        <x:v>info@arkamvc.com</x:v>
      </x:c>
      <x:c r="R41" s="105" t="str">
        <x:v>Official entrepreneur contact / deck upload</x:v>
      </x:c>
      <x:c r="S41" s="105" t="str">
        <x:v>https://arkamvc.com/contact</x:v>
      </x:c>
      <x:c r="T41" s="105" t="str">
        <x:v>https://arkamvc.com/contact</x:v>
      </x:c>
      <x:c r="U41" s="109" t="d">
        <x:v>2026-10-20T00:00:00.000Z</x:v>
      </x:c>
      <x:c r="V41" s="105" t="str">
        <x:v>Show measurable professional adoption and a path from specialist desks to broader financial workflows.</x:v>
      </x:c>
      <x:c r="W41" s="115"/>
      <x:c r="X41" s="115"/>
      <x:c r="Y41" s="114" t="n">
        <x:v>0</x:v>
      </x:c>
      <x:c r="Z41" s="114" t="str"/>
      <x:c r="AA41" s="114" t="str"/>
      <x:c r="AB41" s="109" t="str">
        <x:f>IF(OR(K41="Passed",K41="Paused",K41="Committed",K41="Replied",K41="Meeting",K41="Diligence",K41="Do not contact",K41="Research needed",Z41&lt;&gt;"",Y41&gt;=2,W41=""),"",IF(X41="",W41,X41)+7)</x:f>
      </x:c>
      <x:c r="AC41" s="105" t="str">
        <x:v>INV36</x:v>
      </x:c>
    </x:row>
    <x:row r="42" ht="75" customHeight="1">
      <x:c r="A42" s="158" t="str">
        <x:v>Later</x:v>
      </x:c>
      <x:c r="B42" s="158" t="str">
        <x:v>Lightspeed India Partners</x:v>
      </x:c>
      <x:c r="C42" s="158" t="str">
        <x:v>VC</x:v>
      </x:c>
      <x:c r="D42" s="105" t="str">
        <x:v>Not verified publicly</x:v>
      </x:c>
      <x:c r="E42" s="105" t="str">
        <x:v>Confirm</x:v>
      </x:c>
      <x:c r="F42" s="105" t="str">
        <x:v>Later</x:v>
      </x:c>
      <x:c r="G42" s="105" t="str">
        <x:v>India venture investing; source confirms India office.</x:v>
      </x:c>
      <x:c r="H42" s="105" t="str">
        <x:v>No public pitch email verified; India and US advisory entities are distinct.</x:v>
      </x:c>
      <x:c r="I42" s="105" t="str">
        <x:v>No actual introducer recorded</x:v>
      </x:c>
      <x:c r="J42" s="105" t="str">
        <x:v>Later</x:v>
      </x:c>
      <x:c r="K42" s="114" t="str">
        <x:v>Paused</x:v>
      </x:c>
      <x:c r="L42" s="114" t="str">
        <x:v>Harsh</x:v>
      </x:c>
      <x:c r="M42" s="114" t="str">
        <x:v>Seek a genuine India-team intro; do not email an unrelated Lightspeed Research business.</x:v>
      </x:c>
      <x:c r="N42" s="115"/>
      <x:c r="O42" s="114" t="str"/>
      <x:c r="P42" s="105" t="str">
        <x:v>India investment team via genuine introduction</x:v>
      </x:c>
      <x:c r="Q42" s="105" t="str"/>
      <x:c r="R42" s="105" t="str">
        <x:v>Official India team / referral</x:v>
      </x:c>
      <x:c r="S42" s="105" t="str">
        <x:v>https://lsip.com/global-presence/lightspeed-india/</x:v>
      </x:c>
      <x:c r="T42" s="105" t="str">
        <x:v>https://lsip.com/global-presence/lightspeed-india/</x:v>
      </x:c>
      <x:c r="U42" s="109" t="d">
        <x:v>2026-10-20T00:00:00.000Z</x:v>
      </x:c>
      <x:c r="V42" s="105" t="str">
        <x:v>Professional financial research is a vertical AI workflow; show customer evidence before widening this process.</x:v>
      </x:c>
      <x:c r="W42" s="115"/>
      <x:c r="X42" s="115"/>
      <x:c r="Y42" s="114" t="n">
        <x:v>0</x:v>
      </x:c>
      <x:c r="Z42" s="114" t="str"/>
      <x:c r="AA42" s="114" t="str"/>
      <x:c r="AB42" s="109" t="str">
        <x:f>IF(OR(K42="Passed",K42="Paused",K42="Committed",K42="Replied",K42="Meeting",K42="Diligence",K42="Do not contact",K42="Research needed",Z42&lt;&gt;"",Y42&gt;=2,W42=""),"",IF(X42="",W42,X42)+7)</x:f>
      </x:c>
      <x:c r="AC42" s="105" t="str">
        <x:v>INV37</x:v>
      </x:c>
    </x:row>
    <x:row r="43" ht="75" customHeight="1">
      <x:c r="A43" s="158" t="str">
        <x:v>Verify intake</x:v>
      </x:c>
      <x:c r="B43" s="158" t="str">
        <x:v>Accel / Atoms</x:v>
      </x:c>
      <x:c r="C43" s="158" t="str">
        <x:v>VC / program</x:v>
      </x:c>
      <x:c r="D43" s="105" t="str">
        <x:v>Current intake / terms not verified</x:v>
      </x:c>
      <x:c r="E43" s="105" t="str">
        <x:v>Confirm intake first</x:v>
      </x:c>
      <x:c r="F43" s="105" t="str">
        <x:v>Verify intake</x:v>
      </x:c>
      <x:c r="G43" s="105" t="str">
        <x:v>Pre-seed program for Indian / Indian-origin founders.</x:v>
      </x:c>
      <x:c r="H43" s="105" t="str">
        <x:v>Current homepage shows newsletter/next-cohort notification, not an open investment application. Not an actionable live pitch form.</x:v>
      </x:c>
      <x:c r="I43" s="105" t="str">
        <x:v>No actual introducer recorded</x:v>
      </x:c>
      <x:c r="J43" s="105" t="str">
        <x:v>Verify intake</x:v>
      </x:c>
      <x:c r="K43" s="114" t="str">
        <x:v>Research needed</x:v>
      </x:c>
      <x:c r="L43" s="114" t="str">
        <x:v>Harsh</x:v>
      </x:c>
      <x:c r="M43" s="114" t="str">
        <x:v>Confirm intake or obtain India-team introduction. Avoid duplicate Accel core and Atoms processes.</x:v>
      </x:c>
      <x:c r="N43" s="115"/>
      <x:c r="O43" s="114" t="str"/>
      <x:c r="P43" s="105" t="str">
        <x:v>Atoms / India investment team</x:v>
      </x:c>
      <x:c r="Q43" s="105" t="str"/>
      <x:c r="R43" s="105" t="str">
        <x:v>Official Atoms site; currently cohort notification signup</x:v>
      </x:c>
      <x:c r="S43" s="105" t="str">
        <x:v>https://atoms.accel.com/</x:v>
      </x:c>
      <x:c r="T43" s="105" t="str">
        <x:v>https://atoms.accel.com/</x:v>
      </x:c>
      <x:c r="U43" s="109" t="d">
        <x:v>2026-10-20T00:00:00.000Z</x:v>
      </x:c>
      <x:c r="V43" s="105" t="str">
        <x:v>A technical founder building an AI product for a specific professional job fits a pre-seed discussion.</x:v>
      </x:c>
      <x:c r="W43" s="115"/>
      <x:c r="X43" s="115"/>
      <x:c r="Y43" s="114" t="n">
        <x:v>0</x:v>
      </x:c>
      <x:c r="Z43" s="114" t="str"/>
      <x:c r="AA43" s="114" t="str"/>
      <x:c r="AB43" s="109" t="str">
        <x:f>IF(OR(K43="Passed",K43="Paused",K43="Committed",K43="Replied",K43="Meeting",K43="Diligence",K43="Do not contact",K43="Research needed",Z43&lt;&gt;"",Y43&gt;=2,W43=""),"",IF(X43="",W43,X43)+7)</x:f>
      </x:c>
      <x:c r="AC43" s="105" t="str">
        <x:v>INV38</x:v>
      </x:c>
    </x:row>
    <x:row r="44" ht="75" customHeight="1">
      <x:c r="A44" s="158" t="str">
        <x:v>Verify fit</x:v>
      </x:c>
      <x:c r="B44" s="158" t="str">
        <x:v>BoldCap</x:v>
      </x:c>
      <x:c r="C44" s="158" t="str">
        <x:v>VC</x:v>
      </x:c>
      <x:c r="D44" s="105" t="str">
        <x:v>Not verified publicly</x:v>
      </x:c>
      <x:c r="E44" s="105" t="str">
        <x:v>Confirm</x:v>
      </x:c>
      <x:c r="F44" s="105" t="str">
        <x:v>Verify fit</x:v>
      </x:c>
      <x:c r="G44" s="105" t="str">
        <x:v>Pre-seed/seed frontier AI and technical researchers.</x:v>
      </x:c>
      <x:c r="H44" s="105" t="str">
        <x:v>New frontier/AGI thesis makes fit less direct; Mili wealth-advisory portfolio adjacency merits discussion. No pitch email verified.</x:v>
      </x:c>
      <x:c r="I44" s="105" t="str">
        <x:v>No actual introducer recorded</x:v>
      </x:c>
      <x:c r="J44" s="105" t="str">
        <x:v>Verify fit</x:v>
      </x:c>
      <x:c r="K44" s="114" t="str">
        <x:v>Research needed</x:v>
      </x:c>
      <x:c r="L44" s="114" t="str">
        <x:v>Harsh</x:v>
      </x:c>
      <x:c r="M44" s="114" t="str">
        <x:v>Seek referral only if technical/thesis alignment is credible; do not call Anvest a frontier model lab.</x:v>
      </x:c>
      <x:c r="N44" s="115"/>
      <x:c r="O44" s="114" t="str"/>
      <x:c r="P44" s="105" t="str">
        <x:v>Investment team via official social link</x:v>
      </x:c>
      <x:c r="Q44" s="105" t="str"/>
      <x:c r="R44" s="105" t="str">
        <x:v>Official fund site / LinkedIn</x:v>
      </x:c>
      <x:c r="S44" s="105" t="str">
        <x:v>https://www.boldcap.com/</x:v>
      </x:c>
      <x:c r="T44" s="105" t="str">
        <x:v>https://www.boldcap.com/</x:v>
      </x:c>
      <x:c r="U44" s="109" t="d">
        <x:v>2026-10-20T00:00:00.000Z</x:v>
      </x:c>
      <x:c r="V44" s="105" t="str">
        <x:v>Demonstrate the engineering depth honestly; current Anvest is applied vertical research software.</x:v>
      </x:c>
      <x:c r="W44" s="115"/>
      <x:c r="X44" s="115"/>
      <x:c r="Y44" s="114" t="n">
        <x:v>0</x:v>
      </x:c>
      <x:c r="Z44" s="114" t="str"/>
      <x:c r="AA44" s="114" t="str"/>
      <x:c r="AB44" s="109" t="str">
        <x:f>IF(OR(K44="Passed",K44="Paused",K44="Committed",K44="Replied",K44="Meeting",K44="Diligence",K44="Do not contact",K44="Research needed",Z44&lt;&gt;"",Y44&gt;=2,W44=""),"",IF(X44="",W44,X44)+7)</x:f>
      </x:c>
      <x:c r="AC44" s="105" t="str">
        <x:v>INV39</x:v>
      </x:c>
    </x:row>
    <x:row r="45" ht="75" customHeight="1">
      <x:c r="A45" s="158" t="str">
        <x:v>Verify route</x:v>
      </x:c>
      <x:c r="B45" s="158" t="str">
        <x:v>Axilor Ventures</x:v>
      </x:c>
      <x:c r="C45" s="158" t="str">
        <x:v>VC</x:v>
      </x:c>
      <x:c r="D45" s="105" t="str">
        <x:v>Current terms not verified</x:v>
      </x:c>
      <x:c r="E45" s="105" t="str">
        <x:v>Verify route first</x:v>
      </x:c>
      <x:c r="F45" s="105" t="str">
        <x:v>Verify route</x:v>
      </x:c>
      <x:c r="G45" s="105" t="str">
        <x:v>Official site describes active seed fund.</x:v>
      </x:c>
      <x:c r="H45" s="105" t="str">
        <x:v>Homepage/contact returned 520; do not repeat old ₹20L/100-day accelerator terms or use hiring/complaints inboxes.</x:v>
      </x:c>
      <x:c r="I45" s="105" t="str">
        <x:v>No actual introducer recorded</x:v>
      </x:c>
      <x:c r="J45" s="105" t="str">
        <x:v>Verify route</x:v>
      </x:c>
      <x:c r="K45" s="114" t="str">
        <x:v>Research needed</x:v>
      </x:c>
      <x:c r="L45" s="114" t="str">
        <x:v>Harsh</x:v>
      </x:c>
      <x:c r="M45" s="114" t="str">
        <x:v>Confirm current seed application route through a genuine introduction or restored official site.</x:v>
      </x:c>
      <x:c r="N45" s="115"/>
      <x:c r="O45" s="114" t="str"/>
      <x:c r="P45" s="105" t="str">
        <x:v>Seed investment team</x:v>
      </x:c>
      <x:c r="Q45" s="105" t="str"/>
      <x:c r="R45" s="105" t="str">
        <x:v>Official site; contact route unavailable during research</x:v>
      </x:c>
      <x:c r="S45" s="105" t="str">
        <x:v>https://www.axilor.com/</x:v>
      </x:c>
      <x:c r="T45" s="105" t="str">
        <x:v>https://www.axilor.com/category/axilor/</x:v>
      </x:c>
      <x:c r="U45" s="109" t="d">
        <x:v>2026-10-20T00:00:00.000Z</x:v>
      </x:c>
      <x:c r="V45" s="105" t="str">
        <x:v>Working professional software product seeking a seed investment discussion.</x:v>
      </x:c>
      <x:c r="W45" s="115"/>
      <x:c r="X45" s="115"/>
      <x:c r="Y45" s="114" t="n">
        <x:v>0</x:v>
      </x:c>
      <x:c r="Z45" s="114" t="str"/>
      <x:c r="AA45" s="114" t="str"/>
      <x:c r="AB45" s="109" t="str">
        <x:f>IF(OR(K45="Passed",K45="Paused",K45="Committed",K45="Replied",K45="Meeting",K45="Diligence",K45="Do not contact",K45="Research needed",Z45&lt;&gt;"",Y45&gt;=2,W45=""),"",IF(X45="",W45,X45)+7)</x:f>
      </x:c>
      <x:c r="AC45" s="105" t="str">
        <x:v>INV40</x:v>
      </x:c>
    </x:row>
    <x:row r="46" ht="75" customHeight="1">
      <x:c r="A46" s="158" t="str">
        <x:v>Verify route</x:v>
      </x:c>
      <x:c r="B46" s="158" t="str">
        <x:v>Mumbai Angels / 360 ONE Asset</x:v>
      </x:c>
      <x:c r="C46" s="158" t="str">
        <x:v>Angel network</x:v>
      </x:c>
      <x:c r="D46" s="105" t="str">
        <x:v>Current terms not verified</x:v>
      </x:c>
      <x:c r="E46" s="105" t="str">
        <x:v>Verify current team</x:v>
      </x:c>
      <x:c r="F46" s="105" t="str">
        <x:v>Verify route</x:v>
      </x:c>
      <x:c r="G46" s="105" t="str">
        <x:v>Legacy early-stage network now part of 360 ONE Asset.</x:v>
      </x:c>
      <x:c r="H46" s="105" t="str">
        <x:v>Official LinkedIn says page winding down. Old post publishes pitch@mumbaiangels.com, but current About has .con typo; no current delivery claim.</x:v>
      </x:c>
      <x:c r="I46" s="105" t="str">
        <x:v>No actual introducer recorded</x:v>
      </x:c>
      <x:c r="J46" s="105" t="str">
        <x:v>Verify route</x:v>
      </x:c>
      <x:c r="K46" s="114" t="str">
        <x:v>Research needed</x:v>
      </x:c>
      <x:c r="L46" s="114" t="str">
        <x:v>Harsh</x:v>
      </x:c>
      <x:c r="M46" s="114" t="str">
        <x:v>Ask parent/current team for correct intake before using historic mailbox.</x:v>
      </x:c>
      <x:c r="N46" s="115"/>
      <x:c r="O46" s="114" t="str"/>
      <x:c r="P46" s="105" t="str">
        <x:v>Current early-stage investment team</x:v>
      </x:c>
      <x:c r="Q46" s="105" t="str"/>
      <x:c r="R46" s="105" t="str">
        <x:v>Current parent-team referral; legacy pitch route not current-verified</x:v>
      </x:c>
      <x:c r="S46" s="105" t="str">
        <x:v>https://www.linkedin.com/company/mumbaiangels/</x:v>
      </x:c>
      <x:c r="T46" s="105" t="str">
        <x:v>https://www.linkedin.com/company/mumbaiangels/</x:v>
      </x:c>
      <x:c r="U46" s="109" t="d">
        <x:v>2026-10-20T00:00:00.000Z</x:v>
      </x:c>
      <x:c r="V46" s="105" t="str">
        <x:v>Potential angel/network process after current investment contact is confirmed.</x:v>
      </x:c>
      <x:c r="W46" s="115"/>
      <x:c r="X46" s="115"/>
      <x:c r="Y46" s="114" t="n">
        <x:v>0</x:v>
      </x:c>
      <x:c r="Z46" s="114" t="str"/>
      <x:c r="AA46" s="114" t="str"/>
      <x:c r="AB46" s="109" t="str">
        <x:f>IF(OR(K46="Passed",K46="Paused",K46="Committed",K46="Replied",K46="Meeting",K46="Diligence",K46="Do not contact",K46="Research needed",Z46&lt;&gt;"",Y46&gt;=2,W46=""),"",IF(X46="",W46,X46)+7)</x:f>
      </x:c>
      <x:c r="AC46" s="105" t="str">
        <x:v>INV41</x:v>
      </x:c>
    </x:row>
    <x:row r="47" ht="75" customHeight="1">
      <x:c r="A47" s="158" t="str">
        <x:v>Verify investor</x:v>
      </x:c>
      <x:c r="B47" s="158" t="str">
        <x:v>Backrr</x:v>
      </x:c>
      <x:c r="C47" s="158" t="str">
        <x:v>Platform</x:v>
      </x:c>
      <x:c r="D47" s="105" t="str">
        <x:v>Platform; no cheque verified</x:v>
      </x:c>
      <x:c r="E47" s="105" t="str">
        <x:v>Not verified</x:v>
      </x:c>
      <x:c r="F47" s="105" t="str">
        <x:v>Verify investor</x:v>
      </x:c>
      <x:c r="G47" s="105" t="str">
        <x:v>Founder/investor workflow platform.</x:v>
      </x:c>
      <x:c r="H47" s="105" t="str">
        <x:v>Original sheet treated it as an angel syndicate. Current site describes a platform; an investing entity/mandate was not verified.</x:v>
      </x:c>
      <x:c r="I47" s="105" t="str">
        <x:v>No actual introducer recorded</x:v>
      </x:c>
      <x:c r="J47" s="105" t="str">
        <x:v>Verify investor</x:v>
      </x:c>
      <x:c r="K47" s="114" t="str">
        <x:v>Research needed</x:v>
      </x:c>
      <x:c r="L47" s="114" t="str">
        <x:v>Harsh</x:v>
      </x:c>
      <x:c r="M47" s="114" t="str">
        <x:v>Do not count as a lead or send equity pitch until actual investor role is established.</x:v>
      </x:c>
      <x:c r="N47" s="115"/>
      <x:c r="O47" s="114" t="str"/>
      <x:c r="P47" s="105" t="str">
        <x:v>Platform team</x:v>
      </x:c>
      <x:c r="Q47" s="105" t="str"/>
      <x:c r="R47" s="105" t="str">
        <x:v>Official startup platform</x:v>
      </x:c>
      <x:c r="S47" s="105" t="str">
        <x:v>https://backrr.com/startup</x:v>
      </x:c>
      <x:c r="T47" s="105" t="str">
        <x:v>https://backrr.com/startup</x:v>
      </x:c>
      <x:c r="U47" s="109" t="d">
        <x:v>2026-10-20T00:00:00.000Z</x:v>
      </x:c>
      <x:c r="V47" s="105" t="str">
        <x:v>May help organize investor discovery; does not replace identifying a named capital provider.</x:v>
      </x:c>
      <x:c r="W47" s="115"/>
      <x:c r="X47" s="115"/>
      <x:c r="Y47" s="114" t="n">
        <x:v>0</x:v>
      </x:c>
      <x:c r="Z47" s="114" t="str"/>
      <x:c r="AA47" s="114" t="str"/>
      <x:c r="AB47" s="109" t="str">
        <x:f>IF(OR(K47="Passed",K47="Paused",K47="Committed",K47="Replied",K47="Meeting",K47="Diligence",K47="Do not contact",K47="Research needed",Z47&lt;&gt;"",Y47&gt;=2,W47=""),"",IF(X47="",W47,X47)+7)</x:f>
      </x:c>
      <x:c r="AC47" s="105" t="str">
        <x:v>INV42</x:v>
      </x:c>
    </x:row>
    <x:row r="48" ht="75" customHeight="1">
      <x:c r="A48" s="158" t="str">
        <x:v>Alias</x:v>
      </x:c>
      <x:c r="B48" s="158" t="str">
        <x:v>Nithin Kamath</x:v>
      </x:c>
      <x:c r="C48" s="158" t="str">
        <x:v>Named legacy target</x:v>
      </x:c>
      <x:c r="D48" s="105" t="str">
        <x:v>Personal cheque not verified</x:v>
      </x:c>
      <x:c r="E48" s="105" t="str">
        <x:v>Not independently verified</x:v>
      </x:c>
      <x:c r="F48" s="105" t="str">
        <x:v>Alias</x:v>
      </x:c>
      <x:c r="G48" s="105" t="str">
        <x:v>Legacy named target; use verified fintech investment route.</x:v>
      </x:c>
      <x:c r="H48" s="105" t="str">
        <x:v>Do not count a separate founder inbox as independent lead; personal mandate/contact not verified.</x:v>
      </x:c>
      <x:c r="I48" s="105" t="str">
        <x:v>No actual introducer recorded</x:v>
      </x:c>
      <x:c r="J48" s="105" t="str">
        <x:v>Alias</x:v>
      </x:c>
      <x:c r="K48" s="114" t="str">
        <x:v>Research needed</x:v>
      </x:c>
      <x:c r="L48" s="114" t="str">
        <x:v>Harsh</x:v>
      </x:c>
      <x:c r="M48" s="114" t="str">
        <x:v>Use INV11; separate personal approach only if explicitly referred.</x:v>
      </x:c>
      <x:c r="N48" s="115"/>
      <x:c r="O48" s="114" t="str"/>
      <x:c r="P48" s="105" t="str">
        <x:v>Personal investor role not verified</x:v>
      </x:c>
      <x:c r="Q48" s="105" t="str"/>
      <x:c r="R48" s="105" t="str">
        <x:v>Coordinate through Rainmatter first</x:v>
      </x:c>
      <x:c r="S48" s="105" t="str">
        <x:v>https://rainmatter.com/</x:v>
      </x:c>
      <x:c r="T48" s="105" t="str">
        <x:v>https://rainmatter.com/</x:v>
      </x:c>
      <x:c r="U48" s="109" t="d">
        <x:v>2026-10-20T00:00:00.000Z</x:v>
      </x:c>
      <x:c r="V48" s="105" t="str">
        <x:v>Use Rainmatter fintech application for Anvest's research workflow.</x:v>
      </x:c>
      <x:c r="W48" s="115"/>
      <x:c r="X48" s="115"/>
      <x:c r="Y48" s="114" t="n">
        <x:v>0</x:v>
      </x:c>
      <x:c r="Z48" s="114" t="str"/>
      <x:c r="AA48" s="114" t="str"/>
      <x:c r="AB48" s="109" t="str">
        <x:f>IF(OR(K48="Passed",K48="Paused",K48="Committed",K48="Replied",K48="Meeting",K48="Diligence",K48="Do not contact",K48="Research needed",Z48&lt;&gt;"",Y48&gt;=2,W48=""),"",IF(X48="",W48,X48)+7)</x:f>
      </x:c>
      <x:c r="AC48" s="105" t="str">
        <x:v>INV43</x:v>
      </x:c>
    </x:row>
    <x:row r="49" ht="75" customHeight="1">
      <x:c r="A49" s="158" t="str">
        <x:v>Alias</x:v>
      </x:c>
      <x:c r="B49" s="158" t="str">
        <x:v>Nikhil Kamath</x:v>
      </x:c>
      <x:c r="C49" s="158" t="str">
        <x:v>Named legacy target</x:v>
      </x:c>
      <x:c r="D49" s="105" t="str">
        <x:v>Not verified</x:v>
      </x:c>
      <x:c r="E49" s="105" t="str">
        <x:v>Not verified</x:v>
      </x:c>
      <x:c r="F49" s="105" t="str">
        <x:v>Alias</x:v>
      </x:c>
      <x:c r="G49" s="105" t="str">
        <x:v>Legacy named target, not a confirmed funding opportunity.</x:v>
      </x:c>
      <x:c r="H49" s="105" t="str">
        <x:v>Do not assume Rainmatter or other vehicles represent his personal investment process; no email guessed.</x:v>
      </x:c>
      <x:c r="I49" s="105" t="str">
        <x:v>No actual introducer recorded</x:v>
      </x:c>
      <x:c r="J49" s="105" t="str">
        <x:v>Alias</x:v>
      </x:c>
      <x:c r="K49" s="114" t="str">
        <x:v>Research needed</x:v>
      </x:c>
      <x:c r="L49" s="114" t="str">
        <x:v>Harsh</x:v>
      </x:c>
      <x:c r="M49" s="114" t="str">
        <x:v>Keep parked until a named introduction confirms route; do not duplicate generic founder messages.</x:v>
      </x:c>
      <x:c r="N49" s="115"/>
      <x:c r="O49" s="114" t="str"/>
      <x:c r="P49" s="105" t="str">
        <x:v>Personal investor role for this round not verified</x:v>
      </x:c>
      <x:c r="Q49" s="105" t="str"/>
      <x:c r="R49" s="105" t="str">
        <x:v>Confirm appropriate vehicle through a genuine introduction</x:v>
      </x:c>
      <x:c r="S49" s="105" t="str"/>
      <x:c r="T49" s="105" t="str"/>
      <x:c r="U49" s="109"/>
      <x:c r="V49" s="105" t="str">
        <x:v>A relevant introduction must establish which investment vehicle and mandate apply.</x:v>
      </x:c>
      <x:c r="W49" s="115"/>
      <x:c r="X49" s="115"/>
      <x:c r="Y49" s="114" t="n">
        <x:v>0</x:v>
      </x:c>
      <x:c r="Z49" s="114" t="str"/>
      <x:c r="AA49" s="114" t="str"/>
      <x:c r="AB49" s="109" t="str">
        <x:f>IF(OR(K49="Passed",K49="Paused",K49="Committed",K49="Replied",K49="Meeting",K49="Diligence",K49="Do not contact",K49="Research needed",Z49&lt;&gt;"",Y49&gt;=2,W49=""),"",IF(X49="",W49,X49)+7)</x:f>
      </x:c>
      <x:c r="AC49" s="105" t="str">
        <x:v>INV44</x:v>
      </x:c>
    </x:row>
    <x:row r="50" ht="75" customHeight="1">
      <x:c r="A50" s="158" t="str">
        <x:v>Alias</x:v>
      </x:c>
      <x:c r="B50" s="158" t="str">
        <x:v>Sanjay Swamy — personal angel</x:v>
      </x:c>
      <x:c r="C50" s="158" t="str">
        <x:v>Named legacy target</x:v>
      </x:c>
      <x:c r="D50" s="105" t="str">
        <x:v>Personal cheque not verified</x:v>
      </x:c>
      <x:c r="E50" s="105" t="str">
        <x:v>Not independent of INV16</x:v>
      </x:c>
      <x:c r="F50" s="105" t="str">
        <x:v>Alias</x:v>
      </x:c>
      <x:c r="G50" s="105" t="str">
        <x:v>Fintech investor via Prime; personal mandate not separately verified.</x:v>
      </x:c>
      <x:c r="H50" s="105" t="str">
        <x:v>Not an additional independently verified investor lead.</x:v>
      </x:c>
      <x:c r="I50" s="105" t="str">
        <x:v>No actual introducer recorded</x:v>
      </x:c>
      <x:c r="J50" s="105" t="str">
        <x:v>Alias</x:v>
      </x:c>
      <x:c r="K50" s="114" t="str">
        <x:v>Research needed</x:v>
      </x:c>
      <x:c r="L50" s="114" t="str">
        <x:v>Harsh</x:v>
      </x:c>
      <x:c r="M50" s="114" t="str">
        <x:v>Use INV16; only discuss a personal cheque if he raises it.</x:v>
      </x:c>
      <x:c r="N50" s="115"/>
      <x:c r="O50" s="114" t="str"/>
      <x:c r="P50" s="105" t="str">
        <x:v>Sanjay Swamy, Prime founder/managing partner</x:v>
      </x:c>
      <x:c r="Q50" s="105" t="str"/>
      <x:c r="R50" s="105" t="str">
        <x:v>Prime investment conversation first</x:v>
      </x:c>
      <x:c r="S50" s="105" t="str">
        <x:v>https://www.primevp.in/contact-us</x:v>
      </x:c>
      <x:c r="T50" s="105" t="str">
        <x:v>https://www.primevp.in/contact-us</x:v>
      </x:c>
      <x:c r="U50" s="109" t="d">
        <x:v>2026-10-20T00:00:00.000Z</x:v>
      </x:c>
      <x:c r="V50" s="105" t="str">
        <x:v>Use the professional research thesis in a single coordinated Prime conversation.</x:v>
      </x:c>
      <x:c r="W50" s="115"/>
      <x:c r="X50" s="115"/>
      <x:c r="Y50" s="114" t="n">
        <x:v>0</x:v>
      </x:c>
      <x:c r="Z50" s="114" t="str"/>
      <x:c r="AA50" s="114" t="str"/>
      <x:c r="AB50" s="109" t="str">
        <x:f>IF(OR(K50="Passed",K50="Paused",K50="Committed",K50="Replied",K50="Meeting",K50="Diligence",K50="Do not contact",K50="Research needed",Z50&lt;&gt;"",Y50&gt;=2,W50=""),"",IF(X50="",W50,X50)+7)</x:f>
      </x:c>
      <x:c r="AC50" s="105" t="str">
        <x:v>INV45</x:v>
      </x:c>
    </x:row>
    <x:row r="51" ht="75" customHeight="1">
      <x:c r="A51" s="158" t="str">
        <x:v>Needs introduction</x:v>
      </x:c>
      <x:c r="B51" s="158" t="str">
        <x:v>Kunal Shah</x:v>
      </x:c>
      <x:c r="C51" s="158" t="str">
        <x:v>Angel prospect</x:v>
      </x:c>
      <x:c r="D51" s="105" t="str">
        <x:v>Not verified</x:v>
      </x:c>
      <x:c r="E51" s="105" t="str">
        <x:v>Not verified</x:v>
      </x:c>
      <x:c r="F51" s="105" t="str">
        <x:v>Needs introduction</x:v>
      </x:c>
      <x:c r="G51" s="105" t="str">
        <x:v>Legacy operator target; no current primary-source pitch route verified.</x:v>
      </x:c>
      <x:c r="H51" s="105" t="str">
        <x:v>Do not infer an inbox or use CRED customer support for a personal investment pitch.</x:v>
      </x:c>
      <x:c r="I51" s="105" t="str">
        <x:v>No actual introducer recorded</x:v>
      </x:c>
      <x:c r="J51" s="105" t="str">
        <x:v>Needs introduction</x:v>
      </x:c>
      <x:c r="K51" s="114" t="str">
        <x:v>Research needed</x:v>
      </x:c>
      <x:c r="L51" s="114" t="str">
        <x:v>Harsh</x:v>
      </x:c>
      <x:c r="M51" s="114" t="str">
        <x:v>Find named introducer and confirm interest; otherwise park.</x:v>
      </x:c>
      <x:c r="N51" s="115"/>
      <x:c r="O51" s="114" t="str"/>
      <x:c r="P51" s="105" t="str">
        <x:v>Named operator angel; current mandate not verified</x:v>
      </x:c>
      <x:c r="Q51" s="105" t="str"/>
      <x:c r="R51" s="105" t="str">
        <x:v>Genuine personal / portfolio-founder introduction</x:v>
      </x:c>
      <x:c r="S51" s="105" t="str"/>
      <x:c r="T51" s="105" t="str"/>
      <x:c r="U51" s="109"/>
      <x:c r="V51" s="105" t="str">
        <x:v>Ask an actual mutual contact whether there is current interest in professional research software.</x:v>
      </x:c>
      <x:c r="W51" s="115"/>
      <x:c r="X51" s="115"/>
      <x:c r="Y51" s="114" t="n">
        <x:v>0</x:v>
      </x:c>
      <x:c r="Z51" s="114" t="str"/>
      <x:c r="AA51" s="114" t="str"/>
      <x:c r="AB51" s="109" t="str">
        <x:f>IF(OR(K51="Passed",K51="Paused",K51="Committed",K51="Replied",K51="Meeting",K51="Diligence",K51="Do not contact",K51="Research needed",Z51&lt;&gt;"",Y51&gt;=2,W51=""),"",IF(X51="",W51,X51)+7)</x:f>
      </x:c>
      <x:c r="AC51" s="105" t="str">
        <x:v>INV46</x:v>
      </x:c>
    </x:row>
    <x:row r="52" ht="75" customHeight="1">
      <x:c r="A52" s="158" t="str">
        <x:v>Needs introduction</x:v>
      </x:c>
      <x:c r="B52" s="158" t="str">
        <x:v>Ramakant Sharma</x:v>
      </x:c>
      <x:c r="C52" s="158" t="str">
        <x:v>Angel prospect</x:v>
      </x:c>
      <x:c r="D52" s="105" t="str">
        <x:v>Not verified</x:v>
      </x:c>
      <x:c r="E52" s="105" t="str">
        <x:v>Not verified</x:v>
      </x:c>
      <x:c r="F52" s="105" t="str">
        <x:v>Needs introduction</x:v>
      </x:c>
      <x:c r="G52" s="105" t="str">
        <x:v>Legacy operator target; current Anvest fit and contact not verified.</x:v>
      </x:c>
      <x:c r="H52" s="105" t="str">
        <x:v>No email guessed; no cheque expectation assigned.</x:v>
      </x:c>
      <x:c r="I52" s="105" t="str">
        <x:v>No actual introducer recorded</x:v>
      </x:c>
      <x:c r="J52" s="105" t="str">
        <x:v>Needs introduction</x:v>
      </x:c>
      <x:c r="K52" s="114" t="str">
        <x:v>Research needed</x:v>
      </x:c>
      <x:c r="L52" s="114" t="str">
        <x:v>Harsh</x:v>
      </x:c>
      <x:c r="M52" s="114" t="str">
        <x:v>Identify real introducer or park.</x:v>
      </x:c>
      <x:c r="N52" s="115"/>
      <x:c r="O52" s="114" t="str"/>
      <x:c r="P52" s="105" t="str">
        <x:v>Named operator angel; current mandate not verified</x:v>
      </x:c>
      <x:c r="Q52" s="105" t="str"/>
      <x:c r="R52" s="105" t="str">
        <x:v>Genuine personal / portfolio-founder introduction</x:v>
      </x:c>
      <x:c r="S52" s="105" t="str"/>
      <x:c r="T52" s="105" t="str"/>
      <x:c r="U52" s="109"/>
      <x:c r="V52" s="105" t="str">
        <x:v>Request a specific introduction only if mutual contact can establish relevant software/fintech interest.</x:v>
      </x:c>
      <x:c r="W52" s="115"/>
      <x:c r="X52" s="115"/>
      <x:c r="Y52" s="114" t="n">
        <x:v>0</x:v>
      </x:c>
      <x:c r="Z52" s="114" t="str"/>
      <x:c r="AA52" s="114" t="str"/>
      <x:c r="AB52" s="109" t="str">
        <x:f>IF(OR(K52="Passed",K52="Paused",K52="Committed",K52="Replied",K52="Meeting",K52="Diligence",K52="Do not contact",K52="Research needed",Z52&lt;&gt;"",Y52&gt;=2,W52=""),"",IF(X52="",W52,X52)+7)</x:f>
      </x:c>
      <x:c r="AC52" s="105" t="str">
        <x:v>INV47</x:v>
      </x:c>
    </x:row>
    <x:row r="53" ht="75" customHeight="1">
      <x:c r="A53" s="158" t="str">
        <x:v>Partnership</x:v>
      </x:c>
      <x:c r="B53" s="158" t="str">
        <x:v>Groww / Lalit Keshre</x:v>
      </x:c>
      <x:c r="C53" s="158" t="str">
        <x:v>Potential commercial partner</x:v>
      </x:c>
      <x:c r="D53" s="105" t="str">
        <x:v>No equity mandate verified</x:v>
      </x:c>
      <x:c r="E53" s="105" t="str">
        <x:v>Not counted as investor</x:v>
      </x:c>
      <x:c r="F53" s="105" t="str">
        <x:v>Partnership</x:v>
      </x:c>
      <x:c r="G53" s="105" t="str">
        <x:v>Potential broker distribution partner, not current equity lead.</x:v>
      </x:c>
      <x:c r="H53" s="105" t="str">
        <x:v>Customer support is not a partnership or personal investment contact. No data-rights or integration permission assumed.</x:v>
      </x:c>
      <x:c r="I53" s="105" t="str">
        <x:v>No actual introducer recorded</x:v>
      </x:c>
      <x:c r="J53" s="105" t="str">
        <x:v>Partnership</x:v>
      </x:c>
      <x:c r="K53" s="114" t="str">
        <x:v>Research needed</x:v>
      </x:c>
      <x:c r="L53" s="114" t="str">
        <x:v>Harsh</x:v>
      </x:c>
      <x:c r="M53" s="114" t="str">
        <x:v>Find a real product/partnership introduction; use Template C only after adapting deck.</x:v>
      </x:c>
      <x:c r="N53" s="115"/>
      <x:c r="O53" s="114" t="str"/>
      <x:c r="P53" s="105" t="str">
        <x:v>Product / partnerships team; route not verified</x:v>
      </x:c>
      <x:c r="Q53" s="105" t="str"/>
      <x:c r="R53" s="105" t="str">
        <x:v>Named business-development introduction required</x:v>
      </x:c>
      <x:c r="S53" s="105" t="str">
        <x:v>https://groww.in/</x:v>
      </x:c>
      <x:c r="T53" s="105" t="str"/>
      <x:c r="U53" s="109"/>
      <x:c r="V53" s="105" t="str">
        <x:v>A scoped, read-only filing research pilot for customers; adapt the Zerodha-specific partner deck first.</x:v>
      </x:c>
      <x:c r="W53" s="115"/>
      <x:c r="X53" s="115"/>
      <x:c r="Y53" s="114" t="n">
        <x:v>0</x:v>
      </x:c>
      <x:c r="Z53" s="114" t="str"/>
      <x:c r="AA53" s="114" t="str"/>
      <x:c r="AB53" s="109" t="str">
        <x:f>IF(OR(K53="Passed",K53="Paused",K53="Committed",K53="Replied",K53="Meeting",K53="Diligence",K53="Do not contact",K53="Research needed",Z53&lt;&gt;"",Y53&gt;=2,W53=""),"",IF(X53="",W53,X53)+7)</x:f>
      </x:c>
      <x:c r="AC53" s="105" t="str">
        <x:v>INV48</x:v>
      </x:c>
    </x:row>
    <x:row r="54" ht="75" customHeight="1">
      <x:c r="A54" s="158" t="str">
        <x:v>Prospecting</x:v>
      </x:c>
      <x:c r="B54" s="158" t="str">
        <x:v>SEBI RA / PMS founders — prospecting pool</x:v>
      </x:c>
      <x:c r="C54" s="158" t="str">
        <x:v>Prospecting pool</x:v>
      </x:c>
      <x:c r="D54" s="105" t="str">
        <x:v>No cheque assumption</x:v>
      </x:c>
      <x:c r="E54" s="105" t="str">
        <x:v>Not counted as investor</x:v>
      </x:c>
      <x:c r="F54" s="105" t="str">
        <x:v>Prospecting</x:v>
      </x:c>
      <x:c r="G54" s="105" t="str">
        <x:v>Potential buyers; some may separately angel invest.</x:v>
      </x:c>
      <x:c r="H54" s="105" t="str">
        <x:v>A category is not a contact or an investor lead. Paying for software is not regulatory cover or investment commitment.</x:v>
      </x:c>
      <x:c r="I54" s="105" t="str">
        <x:v>No actual introducer recorded</x:v>
      </x:c>
      <x:c r="J54" s="105" t="str">
        <x:v>Prospecting</x:v>
      </x:c>
      <x:c r="K54" s="114" t="str">
        <x:v>Research needed</x:v>
      </x:c>
      <x:c r="L54" s="114" t="str">
        <x:v>Harsh</x:v>
      </x:c>
      <x:c r="M54" s="114" t="str">
        <x:v>Identify 10 specific firms and public business contacts; sell pilot first, discuss angel interest only if relevant.</x:v>
      </x:c>
      <x:c r="N54" s="115"/>
      <x:c r="O54" s="114" t="str"/>
      <x:c r="P54" s="105" t="str">
        <x:v>No named prospect yet</x:v>
      </x:c>
      <x:c r="Q54" s="105" t="str"/>
      <x:c r="R54" s="105" t="str">
        <x:v>Build a named customer list from public company websites</x:v>
      </x:c>
      <x:c r="S54" s="105" t="str"/>
      <x:c r="T54" s="105" t="str"/>
      <x:c r="U54" s="109"/>
      <x:c r="V54" s="105" t="str">
        <x:v>Ask about professional research workflow and willingness to pay, separately from capital.</x:v>
      </x:c>
      <x:c r="W54" s="115"/>
      <x:c r="X54" s="115"/>
      <x:c r="Y54" s="114" t="n">
        <x:v>0</x:v>
      </x:c>
      <x:c r="Z54" s="114" t="str"/>
      <x:c r="AA54" s="114" t="str"/>
      <x:c r="AB54" s="109" t="str">
        <x:f>IF(OR(K54="Passed",K54="Paused",K54="Committed",K54="Replied",K54="Meeting",K54="Diligence",K54="Do not contact",K54="Research needed",Z54&lt;&gt;"",Y54&gt;=2,W54=""),"",IF(X54="",W54,X54)+7)</x:f>
      </x:c>
      <x:c r="AC54" s="105" t="str">
        <x:v>INV49</x:v>
      </x:c>
    </x:row>
    <x:row r="55" ht="75" customHeight="1">
      <x:c r="A55" s="158" t="str">
        <x:v>Prospecting</x:v>
      </x:c>
      <x:c r="B55" s="158" t="str">
        <x:v>Fundamental-investing creators — prospecting pool</x:v>
      </x:c>
      <x:c r="C55" s="158" t="str">
        <x:v>Prospecting pool</x:v>
      </x:c>
      <x:c r="D55" s="105" t="str">
        <x:v>No cheque assumption</x:v>
      </x:c>
      <x:c r="E55" s="105" t="str">
        <x:v>Not counted as investor</x:v>
      </x:c>
      <x:c r="F55" s="105" t="str">
        <x:v>Prospecting</x:v>
      </x:c>
      <x:c r="G55" s="105" t="str">
        <x:v>Potential distribution or angel relationship after relevance checks.</x:v>
      </x:c>
      <x:c r="H55" s="105" t="str">
        <x:v>No subscriptions/reach, investment mandate or commercial terms assumed. Obtain advice on promotion rules before a paid arrangement.</x:v>
      </x:c>
      <x:c r="I55" s="105" t="str">
        <x:v>No actual introducer recorded</x:v>
      </x:c>
      <x:c r="J55" s="105" t="str">
        <x:v>Prospecting</x:v>
      </x:c>
      <x:c r="K55" s="114" t="str">
        <x:v>Research needed</x:v>
      </x:c>
      <x:c r="L55" s="114" t="str">
        <x:v>Harsh</x:v>
      </x:c>
      <x:c r="M55" s="114" t="str">
        <x:v>Keep separate from fund pipeline; identify named relevant people before outreach.</x:v>
      </x:c>
      <x:c r="N55" s="115"/>
      <x:c r="O55" s="114" t="str"/>
      <x:c r="P55" s="105" t="str">
        <x:v>No named prospect yet</x:v>
      </x:c>
      <x:c r="Q55" s="105" t="str"/>
      <x:c r="R55" s="105" t="str">
        <x:v>Named creator business contacts; no current list verified</x:v>
      </x:c>
      <x:c r="S55" s="105" t="str"/>
      <x:c r="T55" s="105" t="str"/>
      <x:c r="U55" s="109"/>
      <x:c r="V55" s="105" t="str">
        <x:v>Demonstrate source-cited research and educational workflow without return claims.</x:v>
      </x:c>
      <x:c r="W55" s="115"/>
      <x:c r="X55" s="115"/>
      <x:c r="Y55" s="114" t="n">
        <x:v>0</x:v>
      </x:c>
      <x:c r="Z55" s="114" t="str"/>
      <x:c r="AA55" s="114" t="str"/>
      <x:c r="AB55" s="109" t="str">
        <x:f>IF(OR(K55="Passed",K55="Paused",K55="Committed",K55="Replied",K55="Meeting",K55="Diligence",K55="Do not contact",K55="Research needed",Z55&lt;&gt;"",Y55&gt;=2,W55=""),"",IF(X55="",W55,X55)+7)</x:f>
      </x:c>
      <x:c r="AC55" s="105" t="str">
        <x:v>INV50</x:v>
      </x:c>
    </x:row>
  </x:sheetData>
  <x:mergeCells>
    <x:mergeCell ref="A1:AC1"/>
    <x:mergeCell ref="A2:AC2"/>
  </x:mergeCells>
  <x:dataValidations count="2">
    <x:dataValidation type="list" allowBlank="1" showDropDown="0" sqref="K6:K55">
      <x:formula1>"Not started,Intro requested,Sent,Replied,Meeting,Diligence,Committed,Passed,Paused,Research needed,Do not contact"</x:formula1>
    </x:dataValidation>
    <x:dataValidation type="whole" errorStyle="stop" operator="between" showErrorMessage="1" errorTitle="Follow-up count" error="Enter 0, 1 or 2. Pause after two unanswered follow-ups." sqref="Y6:Y55">
      <x:formula1>0</x:formula1>
      <x:formula2>2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b2e56b80cc34af4"/>
  </x:tableParts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baseColWidth="8" defaultRowHeight="15"/>
  <x:cols>
    <x:col min="1" max="1" width="33.88999938964844" hidden="0" customWidth="1"/>
    <x:col min="2" max="2" width="25" hidden="0" customWidth="1"/>
    <x:col min="3" max="3" width="25" hidden="0" customWidth="1"/>
    <x:col min="4" max="4" width="25" hidden="0" customWidth="1"/>
    <x:col min="5" max="5" width="16.110000610351562" hidden="0" customWidth="1"/>
    <x:col min="6" max="6" width="57.779998779296875" hidden="0" customWidth="1"/>
  </x:cols>
  <x:sheetData>
    <x:row r="1" ht="28.5" customHeight="1">
      <x:c r="A1" s="153" t="str">
        <x:v>ANVEST — PROPOSED ROUND TERMS</x:v>
      </x:c>
      <x:c r="B1" s="153"/>
      <x:c r="C1" s="153"/>
      <x:c r="D1" s="153"/>
      <x:c r="E1" s="153"/>
      <x:c r="F1" s="153"/>
    </x:row>
    <x:row r="2" ht="31.5" customHeight="1">
      <x:c r="A2" s="105" t="str">
        <x:v>20 Oct 2026 | Proposed target, not committed capital. USD and INR units are explicit. See operating_model.py for the full monthly plan.</x:v>
      </x:c>
      <x:c r="B2" s="105"/>
      <x:c r="C2" s="105"/>
      <x:c r="D2" s="105"/>
      <x:c r="E2" s="105"/>
      <x:c r="F2" s="105"/>
    </x:row>
    <x:row r="3" ht="11.25" customHeight="1">
      <x:c r="A3" s="105"/>
      <x:c r="B3" s="105"/>
      <x:c r="C3" s="105"/>
      <x:c r="D3" s="105"/>
      <x:c r="E3" s="105"/>
      <x:c r="F3" s="105"/>
    </x:row>
    <x:row r="4" ht="11.25" customHeight="1">
      <x:c r="A4" s="105"/>
      <x:c r="B4" s="105"/>
      <x:c r="C4" s="105"/>
      <x:c r="D4" s="105"/>
      <x:c r="E4" s="105"/>
      <x:c r="F4" s="105"/>
    </x:row>
    <x:row r="5" ht="30" customHeight="1">
      <x:c r="A5" s="154" t="str">
        <x:v>Input / calculation</x:v>
      </x:c>
      <x:c r="B5" s="154" t="str">
        <x:v>Target</x:v>
      </x:c>
      <x:c r="C5" s="154" t="str">
        <x:v>First close</x:v>
      </x:c>
      <x:c r="D5" s="154" t="str">
        <x:v>Maximum</x:v>
      </x:c>
      <x:c r="E5" s="154" t="str">
        <x:v>Unit</x:v>
      </x:c>
      <x:c r="F5" s="154" t="str">
        <x:v>Basis / limitation</x:v>
      </x:c>
    </x:row>
    <x:row r="6" ht="51" customHeight="1">
      <x:c r="A6" s="105" t="str">
        <x:v>Raise</x:v>
      </x:c>
      <x:c r="B6" s="119" t="n">
        <x:v>500000</x:v>
      </x:c>
      <x:c r="C6" s="119" t="n">
        <x:v>400000</x:v>
      </x:c>
      <x:c r="D6" s="119" t="n">
        <x:v>700000</x:v>
      </x:c>
      <x:c r="E6" s="105" t="str">
        <x:v>USD</x:v>
      </x:c>
      <x:c r="F6" s="105" t="str">
        <x:v>Proposed amounts; no investor commitment implied.</x:v>
      </x:c>
    </x:row>
    <x:row r="7" ht="51" customHeight="1">
      <x:c r="A7" s="105" t="str">
        <x:v>Post-money cap</x:v>
      </x:c>
      <x:c r="B7" s="119" t="n">
        <x:v>3500000</x:v>
      </x:c>
      <x:c r="C7" s="119" t="n">
        <x:v>3500000</x:v>
      </x:c>
      <x:c r="D7" s="119" t="n">
        <x:v>3500000</x:v>
      </x:c>
      <x:c r="E7" s="105" t="str">
        <x:v>USD</x:v>
      </x:c>
      <x:c r="F7" s="105" t="str">
        <x:v>Proposed financing cap; exact instrument subject to counsel.</x:v>
      </x:c>
    </x:row>
    <x:row r="8" ht="51" customHeight="1">
      <x:c r="A8" s="105" t="str">
        <x:v>Planning exchange rate</x:v>
      </x:c>
      <x:c r="B8" s="119" t="n">
        <x:v>95</x:v>
      </x:c>
      <x:c r="C8" s="119" t="n">
        <x:v>95</x:v>
      </x:c>
      <x:c r="D8" s="119" t="n">
        <x:v>95</x:v>
      </x:c>
      <x:c r="E8" s="105" t="str">
        <x:v>INR / USD</x:v>
      </x:c>
      <x:c r="F8" s="105" t="str">
        <x:v>From Financial_Models/operating_model.py; not a live FX quote.</x:v>
      </x:c>
    </x:row>
    <x:row r="9" ht="51" customHeight="1">
      <x:c r="A9" s="105" t="str">
        <x:v>Raise at planning FX</x:v>
      </x:c>
      <x:c r="B9" s="118" t="n">
        <x:f>B6*B8/10000000</x:f>
        <x:v>4.75</x:v>
      </x:c>
      <x:c r="C9" s="118" t="n">
        <x:f>C6*C8/10000000</x:f>
        <x:v>3.8</x:v>
      </x:c>
      <x:c r="D9" s="118" t="n">
        <x:f>D6*D8/10000000</x:f>
        <x:v>6.65</x:v>
      </x:c>
      <x:c r="E9" s="105" t="str">
        <x:v>INR crore</x:v>
      </x:c>
      <x:c r="F9" s="105" t="str">
        <x:v>USD raise × INR/USD ÷ 10,000,000.</x:v>
      </x:c>
    </x:row>
    <x:row r="10" ht="51" customHeight="1">
      <x:c r="A10" s="105" t="str">
        <x:v>Simple raise / cap ratio</x:v>
      </x:c>
      <x:c r="B10" s="117" t="n">
        <x:f>B6/B7</x:f>
        <x:v>0.14285714285714285</x:v>
      </x:c>
      <x:c r="C10" s="117" t="n">
        <x:f>C6/C7</x:f>
        <x:v>0.11428571428571428</x:v>
      </x:c>
      <x:c r="D10" s="117" t="n">
        <x:f>D6/D7</x:f>
        <x:v>0.2</x:v>
      </x:c>
      <x:c r="E10" s="105" t="str">
        <x:v>%</x:v>
      </x:c>
      <x:c r="F10" s="105" t="str">
        <x:v>Illustrative ratio only; not an actual cap-table dilution calculation.</x:v>
      </x:c>
    </x:row>
    <x:row r="11" ht="51" customHeight="1">
      <x:c r="A11" s="105" t="str">
        <x:v>Instrument</x:v>
      </x:c>
      <x:c r="B11" s="105" t="str">
        <x:v>Counsel to confirm</x:v>
      </x:c>
      <x:c r="C11" s="105" t="str">
        <x:v>Counsel to confirm</x:v>
      </x:c>
      <x:c r="D11" s="105" t="str">
        <x:v>Counsel to confirm</x:v>
      </x:c>
      <x:c r="E11" s="105" t="str"/>
      <x:c r="F11" s="105" t="str">
        <x:v>CCD/CCPS referenced in materials; signed terms do not exist here.</x:v>
      </x:c>
    </x:row>
    <x:row r="12" ht="51" customHeight="1">
      <x:c r="A12" s="105" t="str">
        <x:v>Founder commitment</x:v>
      </x:c>
      <x:c r="B12" s="105" t="str">
        <x:v>Full-time from close</x:v>
      </x:c>
      <x:c r="C12" s="105" t="str">
        <x:v>Full-time from close</x:v>
      </x:c>
      <x:c r="D12" s="105" t="str">
        <x:v>Full-time from close</x:v>
      </x:c>
      <x:c r="E12" s="105" t="str"/>
      <x:c r="F12" s="105" t="str">
        <x:v>Notice period/date and IP position require actual records.</x:v>
      </x:c>
    </x:row>
    <x:row r="13" ht="51" customHeight="1">
      <x:c r="A13" s="105" t="str">
        <x:v>Capital committed</x:v>
      </x:c>
      <x:c r="B13" s="105"/>
      <x:c r="C13" s="105"/>
      <x:c r="D13" s="105"/>
      <x:c r="E13" s="105" t="str">
        <x:v>USD</x:v>
      </x:c>
      <x:c r="F13" s="105" t="str">
        <x:v>Unknown: enter only signed/confirmed amounts; blank is not zero.</x:v>
      </x:c>
    </x:row>
    <x:row r="14" ht="51" customHeight="1">
      <x:c r="A14" s="105" t="str">
        <x:v>Capital received</x:v>
      </x:c>
      <x:c r="B14" s="105"/>
      <x:c r="C14" s="105"/>
      <x:c r="D14" s="105"/>
      <x:c r="E14" s="105" t="str">
        <x:v>USD</x:v>
      </x:c>
      <x:c r="F14" s="105" t="str">
        <x:v>Unknown: enter only cleared funds; blank is not zero.</x:v>
      </x:c>
    </x:row>
    <x:row r="15" ht="51" customHeight="1">
      <x:c r="A15" s="105" t="str"/>
      <x:c r="B15" s="105" t="str"/>
      <x:c r="C15" s="105" t="str"/>
      <x:c r="D15" s="105" t="str"/>
      <x:c r="E15" s="105" t="str"/>
      <x:c r="F15" s="105" t="str"/>
    </x:row>
    <x:row r="16" ht="51" customHeight="1">
      <x:c r="A16" s="154" t="str">
        <x:v>TARGET USE OF FUNDS</x:v>
      </x:c>
      <x:c r="B16" s="154" t="str">
        <x:v>USD</x:v>
      </x:c>
      <x:c r="C16" s="154" t="str">
        <x:v>Share of target</x:v>
      </x:c>
      <x:c r="D16" s="154" t="str"/>
      <x:c r="E16" s="154" t="str"/>
      <x:c r="F16" s="154" t="str">
        <x:v>Investor-deck allocation; not monthly expense categories.</x:v>
      </x:c>
    </x:row>
    <x:row r="17" ht="51" customHeight="1">
      <x:c r="A17" s="105" t="str">
        <x:v>Team</x:v>
      </x:c>
      <x:c r="B17" s="120" t="n">
        <x:v>185000</x:v>
      </x:c>
      <x:c r="C17" s="117" t="n">
        <x:f>B17/$B$6</x:f>
        <x:v>0.37</x:v>
      </x:c>
      <x:c r="D17" s="105" t="str"/>
      <x:c r="E17" s="105" t="str"/>
      <x:c r="F17" s="105" t="str">
        <x:v>Target use-of-funds allocation from operating model.</x:v>
      </x:c>
    </x:row>
    <x:row r="18" ht="51" customHeight="1">
      <x:c r="A18" s="105" t="str">
        <x:v>Compliance &amp; infrastructure</x:v>
      </x:c>
      <x:c r="B18" s="120" t="n">
        <x:v>65000</x:v>
      </x:c>
      <x:c r="C18" s="117" t="n">
        <x:f>B18/$B$6</x:f>
        <x:v>0.13</x:v>
      </x:c>
      <x:c r="D18" s="105" t="str"/>
      <x:c r="E18" s="105" t="str"/>
      <x:c r="F18" s="105" t="str">
        <x:v>Target use-of-funds allocation.</x:v>
      </x:c>
    </x:row>
    <x:row r="19" ht="51" customHeight="1">
      <x:c r="A19" s="105" t="str">
        <x:v>Growth &amp; founder</x:v>
      </x:c>
      <x:c r="B19" s="120" t="n">
        <x:v>100000</x:v>
      </x:c>
      <x:c r="C19" s="117" t="n">
        <x:f>B19/$B$6</x:f>
        <x:v>0.2</x:v>
      </x:c>
      <x:c r="D19" s="105" t="str"/>
      <x:c r="E19" s="105" t="str"/>
      <x:c r="F19" s="105" t="str">
        <x:v>Target use-of-funds allocation.</x:v>
      </x:c>
    </x:row>
    <x:row r="20" ht="51" customHeight="1">
      <x:c r="A20" s="105" t="str">
        <x:v>Reserve &amp; runway</x:v>
      </x:c>
      <x:c r="B20" s="120" t="n">
        <x:v>150000</x:v>
      </x:c>
      <x:c r="C20" s="117" t="n">
        <x:f>B20/$B$6</x:f>
        <x:v>0.3</x:v>
      </x:c>
      <x:c r="D20" s="105" t="str"/>
      <x:c r="E20" s="105" t="str"/>
      <x:c r="F20" s="105" t="str">
        <x:v>Target use-of-funds allocation.</x:v>
      </x:c>
    </x:row>
    <x:row r="21" ht="51" customHeight="1">
      <x:c r="A21" s="105" t="str">
        <x:v>Total</x:v>
      </x:c>
      <x:c r="B21" s="120" t="n">
        <x:f>SUM(B17:B20)</x:f>
        <x:v>500000</x:v>
      </x:c>
      <x:c r="C21" s="117" t="n">
        <x:f>SUM(C17:C20)</x:f>
        <x:v>1</x:v>
      </x:c>
      <x:c r="D21" s="105" t="str"/>
      <x:c r="E21" s="105" t="str"/>
      <x:c r="F21" s="105" t="str">
        <x:v>Sum must equal target raise.</x:v>
      </x:c>
    </x:row>
    <x:row r="22" ht="51" customHeight="1">
      <x:c r="A22" s="105" t="str">
        <x:v>Difference vs target</x:v>
      </x:c>
      <x:c r="B22" s="121" t="n">
        <x:f>B21-B6</x:f>
        <x:v>0</x:v>
      </x:c>
      <x:c r="C22" s="105" t="str"/>
      <x:c r="D22" s="105" t="str"/>
      <x:c r="E22" s="105" t="str">
        <x:v>USD</x:v>
      </x:c>
      <x:c r="F22" s="105" t="str">
        <x:v>Zero means allocation equals target raise.</x:v>
      </x:c>
    </x:row>
    <x:row r="23" ht="51" customHeight="1">
      <x:c r="A23" s="105" t="str"/>
      <x:c r="B23" s="105" t="str"/>
      <x:c r="C23" s="105" t="str"/>
      <x:c r="D23" s="105" t="str"/>
      <x:c r="E23" s="105" t="str"/>
      <x:c r="F23" s="105" t="str"/>
    </x:row>
    <x:row r="24" ht="51" customHeight="1">
      <x:c r="A24" s="154" t="str">
        <x:v>MODEL OUTPUTS</x:v>
      </x:c>
      <x:c r="B24" s="154" t="str">
        <x:v>Target</x:v>
      </x:c>
      <x:c r="C24" s="154" t="str">
        <x:v>First close</x:v>
      </x:c>
      <x:c r="D24" s="154" t="str">
        <x:v>Maximum</x:v>
      </x:c>
      <x:c r="E24" s="154" t="str">
        <x:v>Unit</x:v>
      </x:c>
      <x:c r="F24" s="154" t="str">
        <x:v>Planning scenarios; not current revenue.</x:v>
      </x:c>
    </x:row>
    <x:row r="25" ht="51" customHeight="1">
      <x:c r="A25" s="105" t="str">
        <x:v>Month-15 ARR</x:v>
      </x:c>
      <x:c r="B25" s="123" t="n">
        <x:v>8700000</x:v>
      </x:c>
      <x:c r="C25" s="123" t="n">
        <x:v>6800000.000000001</x:v>
      </x:c>
      <x:c r="D25" s="123" t="n">
        <x:v>10600000</x:v>
      </x:c>
      <x:c r="E25" s="105" t="str">
        <x:v>INR / year</x:v>
      </x:c>
      <x:c r="F25" s="105" t="str">
        <x:v>Rounded from monthly operating model; see primary model for exact values.</x:v>
      </x:c>
    </x:row>
    <x:row r="26" ht="51" customHeight="1">
      <x:c r="A26" s="105" t="str">
        <x:v>Month-15 Desk teams</x:v>
      </x:c>
      <x:c r="B26" s="123" t="n">
        <x:v>77</x:v>
      </x:c>
      <x:c r="C26" s="123" t="n">
        <x:v>55</x:v>
      </x:c>
      <x:c r="D26" s="123" t="n">
        <x:v>88</x:v>
      </x:c>
      <x:c r="E26" s="105" t="str">
        <x:v>Teams</x:v>
      </x:c>
      <x:c r="F26" s="105" t="str">
        <x:v>Planning output, not current contracts.</x:v>
      </x:c>
    </x:row>
    <x:row r="27" ht="51" customHeight="1">
      <x:c r="A27" s="105" t="str">
        <x:v>Month-15 Desk seats</x:v>
      </x:c>
      <x:c r="B27" s="123" t="n">
        <x:v>243</x:v>
      </x:c>
      <x:c r="C27" s="123" t="n">
        <x:v>173</x:v>
      </x:c>
      <x:c r="D27" s="123" t="n">
        <x:v>276</x:v>
      </x:c>
      <x:c r="E27" s="105" t="str">
        <x:v>Seats</x:v>
      </x:c>
      <x:c r="F27" s="105" t="str">
        <x:v>Teams average 3 seats on acquisition; expansion adds seats.</x:v>
      </x:c>
    </x:row>
    <x:row r="28" ht="51" customHeight="1">
      <x:c r="A28" s="105" t="str">
        <x:v>Month-15 partners</x:v>
      </x:c>
      <x:c r="B28" s="123" t="n">
        <x:v>2</x:v>
      </x:c>
      <x:c r="C28" s="123" t="n">
        <x:v>2</x:v>
      </x:c>
      <x:c r="D28" s="123" t="n">
        <x:v>3</x:v>
      </x:c>
      <x:c r="E28" s="105" t="str">
        <x:v>Paid partners</x:v>
      </x:c>
      <x:c r="F28" s="105" t="str">
        <x:v>Planning output; no pilot/contract claim.</x:v>
      </x:c>
    </x:row>
    <x:row r="29" ht="51" customHeight="1">
      <x:c r="A29" s="105" t="str">
        <x:v>Break-even month</x:v>
      </x:c>
      <x:c r="B29" s="123" t="n">
        <x:v>42</x:v>
      </x:c>
      <x:c r="C29" s="123" t="n">
        <x:v>48</x:v>
      </x:c>
      <x:c r="D29" s="123" t="n">
        <x:v>40</x:v>
      </x:c>
      <x:c r="E29" s="105" t="str">
        <x:v>Month</x:v>
      </x:c>
      <x:c r="F29" s="105" t="str">
        <x:v>First-close case runs out of cash before its break-even; target avoids cash-out under assumptions.</x:v>
      </x:c>
    </x:row>
    <x:row r="30" ht="51" customHeight="1">
      <x:c r="A30" s="105" t="str">
        <x:v>Cash-out month</x:v>
      </x:c>
      <x:c r="B30" s="123" t="str">
        <x:v>None in model</x:v>
      </x:c>
      <x:c r="C30" s="123" t="n">
        <x:v>31</x:v>
      </x:c>
      <x:c r="D30" s="123" t="str">
        <x:v>None in model</x:v>
      </x:c>
      <x:c r="E30" s="105" t="str">
        <x:v>Month</x:v>
      </x:c>
      <x:c r="F30" s="105" t="str">
        <x:v>No guaranteed runway. Target break-even depends on modeled sales, churn and cost.</x:v>
      </x:c>
    </x:row>
    <x:row r="31" ht="51" customHeight="1">
      <x:c r="A31" s="105" t="str">
        <x:v>Target cash low point</x:v>
      </x:c>
      <x:c r="B31" s="123" t="n">
        <x:v>5100000</x:v>
      </x:c>
      <x:c r="C31" s="123" t="str"/>
      <x:c r="D31" s="123" t="str"/>
      <x:c r="E31" s="105" t="str">
        <x:v>INR</x:v>
      </x:c>
      <x:c r="F31" s="105" t="str">
        <x:v>₹0.51 Cr ≈ ₹51L; value below displayed in lakh with formula.</x:v>
      </x:c>
    </x:row>
    <x:row r="32" ht="51" customHeight="1">
      <x:c r="A32" s="105" t="str">
        <x:v>Target cash low point (lakh)</x:v>
      </x:c>
      <x:c r="B32" s="122" t="n">
        <x:f>B31/100000</x:f>
        <x:v>51</x:v>
      </x:c>
      <x:c r="C32" s="105" t="str"/>
      <x:c r="D32" s="105" t="str"/>
      <x:c r="E32" s="105" t="str">
        <x:v>INR lakh</x:v>
      </x:c>
      <x:c r="F32" s="105" t="str">
        <x:v>Links preceding input; no second independent amount.</x:v>
      </x:c>
    </x:row>
    <x:row r="33" ht="51" customHeight="1">
      <x:c r="A33" s="105" t="str"/>
      <x:c r="B33" s="105" t="str"/>
      <x:c r="C33" s="105" t="str"/>
      <x:c r="D33" s="105" t="str"/>
      <x:c r="E33" s="105" t="str"/>
      <x:c r="F33" s="105" t="str"/>
    </x:row>
    <x:row r="34" ht="51" customHeight="1">
      <x:c r="A34" s="105" t="str">
        <x:v>Source</x:v>
      </x:c>
      <x:c r="B34" s="105" t="str">
        <x:v>Financial_Models/operating_model.py</x:v>
      </x:c>
      <x:c r="C34" s="105" t="str"/>
      <x:c r="D34" s="105" t="str"/>
      <x:c r="E34" s="105" t="str"/>
      <x:c r="F34" s="105" t="str">
        <x:v>Snapshot 20 Oct 2026. Use this source for all updated revenue/cost/runway assumptions.</x:v>
      </x:c>
    </x:row>
    <x:row r="35" ht="51" customHeight="1">
      <x:c r="A35" s="105" t="str">
        <x:v>Proposed terms source</x:v>
      </x:c>
      <x:c r="B35" s="105" t="str">
        <x:v>Outreach/Anvest_Outreach_Emails.md</x:v>
      </x:c>
      <x:c r="C35" s="105" t="str"/>
      <x:c r="D35" s="105" t="str"/>
      <x:c r="E35" s="105" t="str"/>
      <x:c r="F35" s="105" t="str">
        <x:v>Target amounts and proposed cap. No founder ownership is assumed.</x:v>
      </x:c>
    </x:row>
    <x:row r="36" ht="51" customHeight="1">
      <x:c r="A36" s="105" t="str">
        <x:v>Diligence note</x:v>
      </x:c>
      <x:c r="B36" s="105" t="str">
        <x:v>Verified cap table required</x:v>
      </x:c>
      <x:c r="C36" s="105" t="str"/>
      <x:c r="D36" s="105" t="str"/>
      <x:c r="E36" s="105" t="str"/>
      <x:c r="F36" s="105" t="str">
        <x:v>Never infer founder ownership as 1 minus raise/cap. ESOPs, existing holders and instrument mechanics matter.</x:v>
      </x:c>
    </x:row>
    <x:row r="37" ht="51" customHeight="1">
      <x:c r="A37" s="105" t="str">
        <x:v>Model caution</x:v>
      </x:c>
      <x:c r="B37" s="105" t="str">
        <x:v>Default-alive is conditional</x:v>
      </x:c>
      <x:c r="C37" s="105" t="str"/>
      <x:c r="D37" s="105" t="str"/>
      <x:c r="E37" s="105" t="str"/>
      <x:c r="F37" s="105" t="str">
        <x:v>Month-42 break-even is the target bootstrap case; later scale assumes a separate Series A.</x:v>
      </x:c>
    </x:row>
    <x:row r="38" ht="51" customHeight="1">
      <x:c r="A38" s="105" t="str">
        <x:v>Contact sizing</x:v>
      </x:c>
      <x:c r="B38" s="105" t="str">
        <x:v>Fund cheque is not round total</x:v>
      </x:c>
      <x:c r="C38" s="105" t="str"/>
      <x:c r="D38" s="105" t="str"/>
      <x:c r="E38" s="105" t="str"/>
      <x:c r="F38" s="105" t="str">
        <x:v>A smaller cheque can join a lead; a published range is not an investor offer.</x:v>
      </x:c>
    </x:row>
    <x:row r="39" ht="51" customHeight="1">
      <x:c r="A39" s="105" t="str">
        <x:v>Do not send this tracker</x:v>
      </x:c>
      <x:c r="B39" s="105" t="str">
        <x:v>Internal only</x:v>
      </x:c>
      <x:c r="C39" s="105" t="str"/>
      <x:c r="D39" s="105" t="str"/>
      <x:c r="E39" s="105" t="str"/>
      <x:c r="F39" s="105" t="str">
        <x:v>Share seed PDF first; model goes to diligence on request.</x:v>
      </x:c>
    </x:row>
    <x:row r="40">
      <x:c r="A40"/>
      <x:c r="B40"/>
      <x:c r="C40"/>
      <x:c r="D40"/>
      <x:c r="E40"/>
      <x:c r="F40"/>
    </x:row>
    <x:row r="41">
      <x:c r="A41"/>
      <x:c r="B41"/>
    </x:row>
    <x:row r="42">
      <x:c r="A42"/>
      <x:c r="B42"/>
      <x:c r="C42"/>
      <x:c r="D42"/>
    </x:row>
    <x:row r="43">
      <x:c r="A43"/>
      <x:c r="B43"/>
      <x:c r="C43"/>
      <x:c r="D43"/>
      <x:c r="F43"/>
    </x:row>
    <x:row r="44">
      <x:c r="A44"/>
      <x:c r="B44"/>
      <x:c r="C44"/>
      <x:c r="D44"/>
    </x:row>
    <x:row r="45">
      <x:c r="A45"/>
      <x:c r="B45"/>
      <x:c r="C45"/>
      <x:c r="D45"/>
    </x:row>
    <x:row r="46">
      <x:c r="A46"/>
      <x:c r="B46"/>
      <x:c r="C46"/>
      <x:c r="D46"/>
      <x:c r="F46"/>
    </x:row>
    <x:row r="47">
      <x:c r="A47"/>
      <x:c r="B47"/>
      <x:c r="C47"/>
      <x:c r="D47"/>
    </x:row>
    <x:row r="48">
      <x:c r="A48"/>
      <x:c r="B48"/>
      <x:c r="C48"/>
      <x:c r="D48"/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baseColWidth="8" defaultRowHeight="15"/>
  <x:cols>
    <x:col min="1" max="1" width="17.780000686645508" hidden="0" customWidth="1"/>
    <x:col min="2" max="2" width="18.329999923706055" hidden="0" customWidth="1"/>
    <x:col min="3" max="3" width="55.560001373291016" hidden="0" customWidth="1"/>
    <x:col min="4" max="4" width="16.110000610351562" hidden="0" customWidth="1"/>
    <x:col min="5" max="5" width="15.5600004196167" hidden="0" customWidth="1"/>
    <x:col min="6" max="6" width="58.88999938964844" hidden="0" customWidth="1"/>
  </x:cols>
  <x:sheetData>
    <x:row r="1" ht="28.5" customHeight="1">
      <x:c r="A1" s="153" t="str">
        <x:v>ANVEST — PRACTICAL OUTREACH SEQUENCE</x:v>
      </x:c>
      <x:c r="B1" s="153"/>
      <x:c r="C1" s="153"/>
      <x:c r="D1" s="153"/>
      <x:c r="E1" s="153"/>
      <x:c r="F1" s="153"/>
    </x:row>
    <x:row r="2" ht="31.5" customHeight="1">
      <x:c r="A2" s="105" t="str">
        <x:v>Proposed start 20 Oct 2026 | Parallel customer learning and investor conversations. Exact dates may be edited; no messages have been sent.</x:v>
      </x:c>
      <x:c r="B2" s="105"/>
      <x:c r="C2" s="105"/>
      <x:c r="D2" s="105"/>
      <x:c r="E2" s="105"/>
      <x:c r="F2" s="105"/>
    </x:row>
    <x:row r="3" ht="11.25" customHeight="1">
      <x:c r="A3" s="105"/>
      <x:c r="B3" s="105"/>
      <x:c r="C3" s="105"/>
      <x:c r="D3" s="105"/>
      <x:c r="E3" s="105"/>
      <x:c r="F3" s="105"/>
    </x:row>
    <x:row r="4" ht="11.25" customHeight="1">
      <x:c r="A4" s="105"/>
      <x:c r="B4" s="105"/>
      <x:c r="C4" s="105"/>
      <x:c r="D4" s="105"/>
      <x:c r="E4" s="105"/>
      <x:c r="F4" s="105"/>
    </x:row>
    <x:row r="5" ht="30" customHeight="1">
      <x:c r="A5" s="154" t="str">
        <x:v>When</x:v>
      </x:c>
      <x:c r="B5" s="154" t="str">
        <x:v>Track</x:v>
      </x:c>
      <x:c r="C5" s="154" t="str">
        <x:v>Deliverable</x:v>
      </x:c>
      <x:c r="D5" s="154" t="str">
        <x:v>Status</x:v>
      </x:c>
      <x:c r="E5" s="154" t="str">
        <x:v>Done date</x:v>
      </x:c>
      <x:c r="F5" s="154" t="str">
        <x:v>Notes</x:v>
      </x:c>
    </x:row>
    <x:row r="6" ht="51" customHeight="1">
      <x:c r="A6" s="105" t="str">
        <x:v>20–22 Oct</x:v>
      </x:c>
      <x:c r="B6" s="105" t="str">
        <x:v>Wave 1</x:v>
      </x:c>
      <x:c r="C6" s="105" t="str">
        <x:v>5 suitable funds: Eximius, All In, Titan, Inuka, Gemba</x:v>
      </x:c>
      <x:c r="D6" s="105" t="str">
        <x:v>Not started</x:v>
      </x:c>
      <x:c r="E6" s="109"/>
      <x:c r="F6" s="105" t="str">
        <x:v>Personalize each email. Batch limits are workload recommendations, not expected conversion rates.</x:v>
      </x:c>
    </x:row>
    <x:row r="7" ht="51" customHeight="1">
      <x:c r="A7" s="105" t="str">
        <x:v>23–29 Oct</x:v>
      </x:c>
      <x:c r="B7" s="105" t="str">
        <x:v>Wave 2</x:v>
      </x:c>
      <x:c r="C7" s="105" t="str">
        <x:v>9 funds; official forms and genuinely accessible introductions</x:v>
      </x:c>
      <x:c r="D7" s="105" t="str">
        <x:v>Not started</x:v>
      </x:c>
      <x:c r="E7" s="109"/>
      <x:c r="F7" s="105" t="str">
        <x:v>Learn from first calls. Do not wait for paid pilots as a blanket condition.</x:v>
      </x:c>
    </x:row>
    <x:row r="8" ht="51" customHeight="1">
      <x:c r="A8" s="105" t="str">
        <x:v>30 Oct–6 Nov</x:v>
      </x:c>
      <x:c r="B8" s="105" t="str">
        <x:v>Wave 3</x:v>
      </x:c>
      <x:c r="C8" s="105" t="str">
        <x:v>12 additional funds after refining explanation of buyer and source quality</x:v>
      </x:c>
      <x:c r="D8" s="105" t="str">
        <x:v>Not started</x:v>
      </x:c>
      <x:c r="E8" s="109"/>
      <x:c r="F8" s="105" t="str">
        <x:v>Keep facts consistent; selectively prioritize strong warm intros sooner.</x:v>
      </x:c>
    </x:row>
    <x:row r="9" ht="51" customHeight="1">
      <x:c r="A9" s="105" t="str">
        <x:v>By 30 Oct</x:v>
      </x:c>
      <x:c r="B9" s="105" t="str">
        <x:v>Optional program</x:v>
      </x:c>
      <x:c r="C9" s="105" t="str">
        <x:v>Decide and prepare YC Winter 2027 application</x:v>
      </x:c>
      <x:c r="D9" s="105" t="str">
        <x:v>Not started</x:v>
      </x:c>
      <x:c r="E9" s="109"/>
      <x:c r="F9" s="105" t="str">
        <x:v>Official on-time deadline 3 Nov 09:30 IST; SF in-person program.</x:v>
      </x:c>
    </x:row>
    <x:row r="10" ht="51" customHeight="1">
      <x:c r="A10" s="105" t="str">
        <x:v>Day 7 / Day 14</x:v>
      </x:c>
      <x:c r="B10" s="105" t="str">
        <x:v>Follow-ups</x:v>
      </x:c>
      <x:c r="C10" s="105" t="str">
        <x:v>At most 2 unanswered follow-ups, in the existing thread</x:v>
      </x:c>
      <x:c r="D10" s="105" t="str">
        <x:v>Not started</x:v>
      </x:c>
      <x:c r="E10" s="109"/>
      <x:c r="F10" s="105" t="str">
        <x:v>Set actual sent date, last touch and count. Replies/pass/commitment stop automated due dates.</x:v>
      </x:c>
    </x:row>
    <x:row r="11" ht="51" customHeight="1">
      <x:c r="A11" s="105" t="str">
        <x:v>Every working day</x:v>
      </x:c>
      <x:c r="B11" s="105" t="str">
        <x:v>Customer evidence</x:v>
      </x:c>
      <x:c r="C11" s="105" t="str">
        <x:v>Separate professional sales block alongside fundraising</x:v>
      </x:c>
      <x:c r="D11" s="105" t="str">
        <x:v>Not started</x:v>
      </x:c>
      <x:c r="E11" s="109"/>
      <x:c r="F11" s="105" t="str">
        <x:v>Log real interviews, paid demand and usage; none assumed by this schedule.</x:v>
      </x:c>
    </x:row>
    <x:row r="12" ht="51" customHeight="1">
      <x:c r="A12" s="105" t="str">
        <x:v>Weekly</x:v>
      </x:c>
      <x:c r="B12" s="105" t="str">
        <x:v>Pipeline review</x:v>
      </x:c>
      <x:c r="C12" s="105" t="str">
        <x:v>Review meetings, objections, diligence, terms and next owners</x:v>
      </x:c>
      <x:c r="D12" s="105" t="str">
        <x:v>Not started</x:v>
      </x:c>
      <x:c r="E12" s="109"/>
      <x:c r="F12" s="105" t="str">
        <x:v>Do not count platform profiles or repeated fund contacts as independent leads.</x:v>
      </x:c>
    </x:row>
    <x:row r="13" ht="51" customHeight="1">
      <x:c r="A13" s="105" t="str">
        <x:v>After real progress</x:v>
      </x:c>
      <x:c r="B13" s="105" t="str">
        <x:v>Later / parked</x:v>
      </x:c>
      <x:c r="C13" s="105" t="str">
        <x:v>Update relevant later-stage funds and verify unavailable routes</x:v>
      </x:c>
      <x:c r="D13" s="105" t="str">
        <x:v>Not started</x:v>
      </x:c>
      <x:c r="E13" s="109"/>
      <x:c r="F13" s="105" t="str">
        <x:v>Use measured progress; no fabricated urgency. No blanket broadcast to all 50 entries.</x:v>
      </x:c>
    </x:row>
    <x:row r="14" ht="40" customHeight="1">
      <x:c r="A14"/>
      <x:c r="B14"/>
      <x:c r="C14"/>
      <x:c r="D14"/>
      <x:c r="E14"/>
      <x:c r="F14"/>
    </x:row>
    <x:row r="15" ht="40" customHeight="1">
      <x:c r="A15"/>
      <x:c r="B15"/>
      <x:c r="C15"/>
      <x:c r="D15"/>
      <x:c r="E15"/>
      <x:c r="F15"/>
    </x:row>
    <x:row r="17">
      <x:c r="A17"/>
    </x:row>
    <x:row r="18">
      <x:c r="A18"/>
      <x:c r="C18"/>
    </x:row>
    <x:row r="19">
      <x:c r="A19"/>
      <x:c r="C19"/>
    </x:row>
    <x:row r="20">
      <x:c r="A20"/>
      <x:c r="C20"/>
    </x:row>
    <x:row r="21">
      <x:c r="A21"/>
      <x:c r="C21"/>
    </x:row>
  </x:sheetData>
  <x:mergeCells>
    <x:mergeCell ref="A1:F1"/>
    <x:mergeCell ref="A2:F2"/>
  </x:mergeCells>
  <x:dataValidations count="1">
    <x:dataValidation type="list" allowBlank="1" showDropDown="0" sqref="D6:D13">
      <x:formula1>"Not started,In progress,Done,Blocked"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baseColWidth="8" defaultRowHeight="15"/>
  <x:cols>
    <x:col min="1" max="1" width="10.5600004196167" hidden="0" customWidth="1"/>
    <x:col min="2" max="2" width="30" hidden="0" customWidth="1"/>
    <x:col min="3" max="3" width="48.88999938964844" hidden="0" customWidth="1"/>
    <x:col min="4" max="4" width="44.439998626708984" hidden="0" customWidth="1"/>
    <x:col min="5" max="5" width="15.5600004196167" hidden="0" customWidth="1"/>
    <x:col min="6" max="6" width="32.779998779296875" hidden="0" customWidth="1"/>
    <x:col min="7" max="7" width="61.11000061035156" hidden="0" customWidth="1"/>
  </x:cols>
  <x:sheetData>
    <x:row r="1" ht="28.5" customHeight="1">
      <x:c r="A1" s="153" t="str">
        <x:v>ANVEST — CONTACT SOURCES &amp; LIMITS</x:v>
      </x:c>
      <x:c r="B1" s="153"/>
      <x:c r="C1" s="153"/>
      <x:c r="D1" s="153"/>
      <x:c r="E1" s="153"/>
      <x:c r="F1" s="153"/>
      <x:c r="G1" s="153"/>
    </x:row>
    <x:row r="2" ht="31.5" customHeight="1">
      <x:c r="A2" s="105" t="str">
        <x:v>Public sources reviewed 20 Oct 2026. Primary-source publication verified; SMTP delivery, investor availability and completed form submission remain untested.</x:v>
      </x:c>
      <x:c r="B2" s="105"/>
      <x:c r="C2" s="105"/>
      <x:c r="D2" s="105"/>
      <x:c r="E2" s="105"/>
      <x:c r="F2" s="105"/>
      <x:c r="G2" s="105"/>
    </x:row>
    <x:row r="3" ht="11.25" customHeight="1">
      <x:c r="A3" s="105"/>
      <x:c r="B3" s="105"/>
      <x:c r="C3" s="105"/>
      <x:c r="D3" s="105"/>
      <x:c r="E3" s="105"/>
      <x:c r="F3" s="105"/>
      <x:c r="G3" s="105"/>
    </x:row>
    <x:row r="4" ht="11.25" customHeight="1">
      <x:c r="A4" s="105"/>
      <x:c r="B4" s="105"/>
      <x:c r="C4" s="105"/>
      <x:c r="D4" s="105"/>
      <x:c r="E4" s="105"/>
      <x:c r="F4" s="105"/>
      <x:c r="G4" s="105"/>
    </x:row>
    <x:row r="5" ht="30" customHeight="1">
      <x:c r="A5" s="154" t="str">
        <x:v>Record</x:v>
      </x:c>
      <x:c r="B5" s="154" t="str">
        <x:v>Target / evidence</x:v>
      </x:c>
      <x:c r="C5" s="154" t="str">
        <x:v>Primary source</x:v>
      </x:c>
      <x:c r="D5" s="154" t="str">
        <x:v>Contact route URL</x:v>
      </x:c>
      <x:c r="E5" s="154" t="str">
        <x:v>Checked on</x:v>
      </x:c>
      <x:c r="F5" s="154" t="str">
        <x:v>Email / evidence type</x:v>
      </x:c>
      <x:c r="G5" s="154" t="str">
        <x:v>Scope / limitation</x:v>
      </x:c>
    </x:row>
    <x:row r="6" ht="51" customHeight="1">
      <x:c r="A6" s="105" t="str">
        <x:v>INV01</x:v>
      </x:c>
      <x:c r="B6" s="105" t="str">
        <x:v>Eximius Ventures</x:v>
      </x:c>
      <x:c r="C6" s="105" t="str">
        <x:v>https://www.linkedin.com/posts/pearl-agarwal_founders-oftenwalk-intoour-first-conversation-activity-7447193122029121536-GZDP</x:v>
      </x:c>
      <x:c r="D6" s="105" t="str">
        <x:v>https://eximiusvc.com/</x:v>
      </x:c>
      <x:c r="E6" s="109" t="d">
        <x:v>2026-10-20T00:00:00.000Z</x:v>
      </x:c>
      <x:c r="F6" s="105" t="str">
        <x:v>pitches@eximiusvc.com</x:v>
      </x:c>
      <x:c r="G6" s="105" t="str">
        <x:v>Show a repeatable customer job and disclose pre-revenue / employed until close; no paid pilots claimed.</x:v>
      </x:c>
    </x:row>
    <x:row r="7" ht="51" customHeight="1">
      <x:c r="A7" s="105" t="str">
        <x:v>INV02</x:v>
      </x:c>
      <x:c r="B7" s="105" t="str">
        <x:v>All In Capital</x:v>
      </x:c>
      <x:c r="C7" s="105" t="str">
        <x:v>https://www.allincapital.vc/</x:v>
      </x:c>
      <x:c r="D7" s="105" t="str">
        <x:v>https://www.allincapital.vc/apply_now</x:v>
      </x:c>
      <x:c r="E7" s="109" t="d">
        <x:v>2026-10-20T00:00:00.000Z</x:v>
      </x:c>
      <x:c r="F7" s="105" t="str">
        <x:v>kb@allincapital.vc</x:v>
      </x:c>
      <x:c r="G7" s="105" t="str">
        <x:v>Homepage and application FAQ disagree on upper cheque size. Do not present either as a commitment.</x:v>
      </x:c>
    </x:row>
    <x:row r="8" ht="51" customHeight="1">
      <x:c r="A8" s="105" t="str">
        <x:v>INV03</x:v>
      </x:c>
      <x:c r="B8" s="105" t="str">
        <x:v>Titan Capital</x:v>
      </x:c>
      <x:c r="C8" s="105" t="str">
        <x:v>https://titancapital.vc/ourteam</x:v>
      </x:c>
      <x:c r="D8" s="105" t="str">
        <x:v>https://titancapital.vc/getinvestment</x:v>
      </x:c>
      <x:c r="E8" s="109" t="d">
        <x:v>2026-10-20T00:00:00.000Z</x:v>
      </x:c>
      <x:c r="F8" s="105" t="str">
        <x:v>manik@titancapital.vc</x:v>
      </x:c>
      <x:c r="G8" s="105" t="str">
        <x:v>Use seed technology team; corporate, finance and growth-team inboxes are different mandates.</x:v>
      </x:c>
    </x:row>
    <x:row r="9" ht="51" customHeight="1">
      <x:c r="A9" s="105" t="str">
        <x:v>INV04</x:v>
      </x:c>
      <x:c r="B9" s="105" t="str">
        <x:v>Inuka Capital</x:v>
      </x:c>
      <x:c r="C9" s="105" t="str">
        <x:v>https://inuka.vc/</x:v>
      </x:c>
      <x:c r="D9" s="105" t="str">
        <x:v>https://inuka.vc/</x:v>
      </x:c>
      <x:c r="E9" s="109" t="d">
        <x:v>2026-10-20T00:00:00.000Z</x:v>
      </x:c>
      <x:c r="F9" s="105" t="str">
        <x:v>pitch@inuka.vc</x:v>
      </x:c>
      <x:c r="G9" s="105" t="str">
        <x:v>Published range may cover part of the $500K target; discuss syndication and lead terms.</x:v>
      </x:c>
    </x:row>
    <x:row r="10" ht="51" customHeight="1">
      <x:c r="A10" s="105" t="str">
        <x:v>INV05</x:v>
      </x:c>
      <x:c r="B10" s="105" t="str">
        <x:v>Gemba Capital</x:v>
      </x:c>
      <x:c r="C10" s="105" t="str">
        <x:v>https://gembacapital.in/partner.php</x:v>
      </x:c>
      <x:c r="D10" s="105" t="str">
        <x:v>https://gembacapital.in/partner.php</x:v>
      </x:c>
      <x:c r="E10" s="109" t="d">
        <x:v>2026-10-20T00:00:00.000Z</x:v>
      </x:c>
      <x:c r="F10" s="105" t="str">
        <x:v>info@gembacapital.in</x:v>
      </x:c>
      <x:c r="G10" s="105" t="str">
        <x:v>Old team.php page is 404. Use current visible founder-contact route; do not use cached team emails or nodal-officer contact.</x:v>
      </x:c>
    </x:row>
    <x:row r="11" ht="51" customHeight="1">
      <x:c r="A11" s="105" t="str">
        <x:v>INV06</x:v>
      </x:c>
      <x:c r="B11" s="105" t="str">
        <x:v>India Quotient</x:v>
      </x:c>
      <x:c r="C11" s="105" t="str">
        <x:v>https://www.indiaquotient.in/</x:v>
      </x:c>
      <x:c r="D11" s="105" t="str">
        <x:v>https://docs.google.com/forms/d/e/1FAIpQLSe9R6oCNWHWY-8AguZYIU4mqykRH_VvpAt2W7QMc2rUtRxNdQ/viewform</x:v>
      </x:c>
      <x:c r="E11" s="109" t="d">
        <x:v>2026-10-20T00:00:00.000Z</x:v>
      </x:c>
      <x:c r="F11" s="105" t="str">
        <x:v>No suitable public email verified</x:v>
      </x:c>
      <x:c r="G11" s="105" t="str">
        <x:v>Official form link resolved but research fetch returned 401; open signed in before sending. Site publishes an email pattern, not a verified individual address.</x:v>
      </x:c>
    </x:row>
    <x:row r="12" ht="51" customHeight="1">
      <x:c r="A12" s="105" t="str">
        <x:v>INV07</x:v>
      </x:c>
      <x:c r="B12" s="105" t="str">
        <x:v>Zeropearl</x:v>
      </x:c>
      <x:c r="C12" s="105" t="str">
        <x:v>https://zeropearl.vc/</x:v>
      </x:c>
      <x:c r="D12" s="105" t="str">
        <x:v>https://zpvc.live/form</x:v>
      </x:c>
      <x:c r="E12" s="109" t="d">
        <x:v>2026-10-20T00:00:00.000Z</x:v>
      </x:c>
      <x:c r="F12" s="105" t="str">
        <x:v>No suitable public email verified</x:v>
      </x:c>
      <x:c r="G12" s="105" t="str">
        <x:v>Form provider could not be fetched by research tool; official homepage links it. Follow no-deck prompt if form requests that.</x:v>
      </x:c>
    </x:row>
    <x:row r="13" ht="51" customHeight="1">
      <x:c r="A13" s="105" t="str">
        <x:v>INV08</x:v>
      </x:c>
      <x:c r="B13" s="105" t="str">
        <x:v>Whiteboard Capital</x:v>
      </x:c>
      <x:c r="C13" s="105" t="str">
        <x:v>https://www.whiteboardcap.com/</x:v>
      </x:c>
      <x:c r="D13" s="105" t="str">
        <x:v>https://form.jotform.com/262302156153043</x:v>
      </x:c>
      <x:c r="E13" s="109" t="d">
        <x:v>2026-10-20T00:00:00.000Z</x:v>
      </x:c>
      <x:c r="F13" s="105" t="str">
        <x:v>No suitable public email verified</x:v>
      </x:c>
      <x:c r="G13" s="105" t="str">
        <x:v>Use official startup form, not a similarly named White Cap supplier or unrelated fund.</x:v>
      </x:c>
    </x:row>
    <x:row r="14" ht="51" customHeight="1">
      <x:c r="A14" s="105" t="str">
        <x:v>INV09</x:v>
      </x:c>
      <x:c r="B14" s="105" t="str">
        <x:v>z21 Ventures</x:v>
      </x:c>
      <x:c r="C14" s="105" t="str">
        <x:v>https://z21.ventures/contact</x:v>
      </x:c>
      <x:c r="D14" s="105" t="str">
        <x:v>https://z21.ventures/contact</x:v>
      </x:c>
      <x:c r="E14" s="109" t="d">
        <x:v>2026-10-20T00:00:00.000Z</x:v>
      </x:c>
      <x:c r="F14" s="105" t="str">
        <x:v>shachi.shah@z21.ventures</x:v>
      </x:c>
      <x:c r="G14" s="105" t="str">
        <x:v>Show measured extraction results separately from AI-answer accuracy and discuss India-only initial market.</x:v>
      </x:c>
    </x:row>
    <x:row r="15" ht="51" customHeight="1">
      <x:c r="A15" s="105" t="str">
        <x:v>INV10</x:v>
      </x:c>
      <x:c r="B15" s="105" t="str">
        <x:v>First Cheque</x:v>
      </x:c>
      <x:c r="C15" s="105" t="str">
        <x:v>https://www.firstcheque.vc/</x:v>
      </x:c>
      <x:c r="D15" s="105" t="str">
        <x:v>https://forms.gle/DFsogsRG4D5mXi7E7</x:v>
      </x:c>
      <x:c r="E15" s="109" t="d">
        <x:v>2026-10-20T00:00:00.000Z</x:v>
      </x:c>
      <x:c r="F15" s="105" t="str">
        <x:v>info@firstcheque.vc</x:v>
      </x:c>
      <x:c r="G15" s="105" t="str">
        <x:v>Homepage/FAQ cheque language differs. Ask current cheque and terms; do not import old fixed 5% terms. Distinct from firstcheques.com.</x:v>
      </x:c>
    </x:row>
    <x:row r="16" ht="51" customHeight="1">
      <x:c r="A16" s="105" t="str">
        <x:v>INV11</x:v>
      </x:c>
      <x:c r="B16" s="105" t="str">
        <x:v>Rainmatter</x:v>
      </x:c>
      <x:c r="C16" s="105" t="str">
        <x:v>https://rainmatter.com/</x:v>
      </x:c>
      <x:c r="D16" s="105" t="str">
        <x:v>https://forms.gle/zg3QSsKpeBWqTgpy8</x:v>
      </x:c>
      <x:c r="E16" s="109" t="d">
        <x:v>2026-10-20T00:00:00.000Z</x:v>
      </x:c>
      <x:c r="F16" s="105" t="str">
        <x:v>No suitable public email verified</x:v>
      </x:c>
      <x:c r="G16" s="105" t="str">
        <x:v>Discuss portfolio adjacency and data rights. Keep equity pitch separate from any Zerodha commercial pilot; no need to email founders separately.</x:v>
      </x:c>
    </x:row>
    <x:row r="17" ht="51" customHeight="1">
      <x:c r="A17" s="105" t="str">
        <x:v>INV12</x:v>
      </x:c>
      <x:c r="B17" s="105" t="str">
        <x:v>SenseAI Ventures</x:v>
      </x:c>
      <x:c r="C17" s="105" t="str">
        <x:v>https://www.senseai.ai/pitch-to-us/</x:v>
      </x:c>
      <x:c r="D17" s="105" t="str">
        <x:v>https://www.senseai.ai/pitch-to-us/</x:v>
      </x:c>
      <x:c r="E17" s="109" t="d">
        <x:v>2026-10-20T00:00:00.000Z</x:v>
      </x:c>
      <x:c r="F17" s="105" t="str">
        <x:v>No suitable public email verified</x:v>
      </x:c>
      <x:c r="G17" s="105" t="str">
        <x:v>Do not call the 50-filing extraction audit an answer-accuracy benchmark.</x:v>
      </x:c>
    </x:row>
    <x:row r="18" ht="51" customHeight="1">
      <x:c r="A18" s="105" t="str">
        <x:v>INV13</x:v>
      </x:c>
      <x:c r="B18" s="105" t="str">
        <x:v>Better Capital</x:v>
      </x:c>
      <x:c r="C18" s="105" t="str">
        <x:v>https://www.bettercapital.vc/</x:v>
      </x:c>
      <x:c r="D18" s="105" t="str">
        <x:v>https://www.linkedin.com/in/better/</x:v>
      </x:c>
      <x:c r="E18" s="109" t="d">
        <x:v>2026-10-20T00:00:00.000Z</x:v>
      </x:c>
      <x:c r="F18" s="105" t="str">
        <x:v>No suitable public email verified</x:v>
      </x:c>
      <x:c r="G18" s="105" t="str">
        <x:v>No suitable published pitch email verified. Do not use guessed betterlabs addresses or the unrelated UK Better Capital fund.</x:v>
      </x:c>
    </x:row>
    <x:row r="19" ht="51" customHeight="1">
      <x:c r="A19" s="105" t="str">
        <x:v>INV14</x:v>
      </x:c>
      <x:c r="B19" s="105" t="str">
        <x:v>3one4 Capital</x:v>
      </x:c>
      <x:c r="C19" s="105" t="str">
        <x:v>https://www.3one4capital.com/</x:v>
      </x:c>
      <x:c r="D19" s="105" t="str">
        <x:v>https://www.3one4capital.com/contact-us</x:v>
      </x:c>
      <x:c r="E19" s="109" t="d">
        <x:v>2026-10-20T00:00:00.000Z</x:v>
      </x:c>
      <x:c r="F19" s="105" t="str">
        <x:v>hello@3one4capital.com</x:v>
      </x:c>
      <x:c r="G19" s="105" t="str">
        <x:v>Larger fund; fit is not certainty. Form includes pitch upload; use pitch section rather than general query section.</x:v>
      </x:c>
    </x:row>
    <x:row r="20" ht="51" customHeight="1">
      <x:c r="A20" s="105" t="str">
        <x:v>INV15</x:v>
      </x:c>
      <x:c r="B20" s="105" t="str">
        <x:v>WaterBridge Ventures</x:v>
      </x:c>
      <x:c r="C20" s="105" t="str">
        <x:v>https://www.linkedin.com/posts/waterbridgeventures_thrilled-to-host-some-amazing-founders-activity-7211619011078365184-rPdx</x:v>
      </x:c>
      <x:c r="D20" s="105" t="str">
        <x:v>https://form.jotform.com/210891198850463</x:v>
      </x:c>
      <x:c r="E20" s="109" t="d">
        <x:v>2026-10-20T00:00:00.000Z</x:v>
      </x:c>
      <x:c r="F20" s="105" t="str">
        <x:v>pitch@waterbridge.vc</x:v>
      </x:c>
      <x:c r="G20" s="105" t="str">
        <x:v>Form asks for cap table and founder video; provide verified company records, not old tracker assumptions.</x:v>
      </x:c>
    </x:row>
    <x:row r="21" ht="51" customHeight="1">
      <x:c r="A21" s="105" t="str">
        <x:v>INV16</x:v>
      </x:c>
      <x:c r="B21" s="105" t="str">
        <x:v>Prime Venture Partners</x:v>
      </x:c>
      <x:c r="C21" s="105" t="str">
        <x:v>https://www.primevp.in/contact-us</x:v>
      </x:c>
      <x:c r="D21" s="105" t="str">
        <x:v>https://www.primevp.in/contact-us</x:v>
      </x:c>
      <x:c r="E21" s="109" t="d">
        <x:v>2026-10-20T00:00:00.000Z</x:v>
      </x:c>
      <x:c r="F21" s="105" t="str">
        <x:v>info@primevp.in</x:v>
      </x:c>
      <x:c r="G21" s="105" t="str">
        <x:v>Site prioritizes referrals. Sanjay personal angel route is not an independent second lead in this tracker.</x:v>
      </x:c>
    </x:row>
    <x:row r="22" ht="51" customHeight="1">
      <x:c r="A22" s="105" t="str">
        <x:v>INV17</x:v>
      </x:c>
      <x:c r="B22" s="105" t="str">
        <x:v>Elevation Capital</x:v>
      </x:c>
      <x:c r="C22" s="105" t="str">
        <x:v>https://www.elevationcapital.com/pitch</x:v>
      </x:c>
      <x:c r="D22" s="105" t="str">
        <x:v>https://www.elevationcapital.com/pitch</x:v>
      </x:c>
      <x:c r="E22" s="109" t="d">
        <x:v>2026-10-20T00:00:00.000Z</x:v>
      </x:c>
      <x:c r="F22" s="105" t="str">
        <x:v>No suitable public email verified</x:v>
      </x:c>
      <x:c r="G22" s="105" t="str">
        <x:v>Large-fund ambition and $500K round fit need discussion; not categorically too early.</x:v>
      </x:c>
    </x:row>
    <x:row r="23" ht="51" customHeight="1">
      <x:c r="A23" s="105" t="str">
        <x:v>INV18</x:v>
      </x:c>
      <x:c r="B23" s="105" t="str">
        <x:v>Z47</x:v>
      </x:c>
      <x:c r="C23" s="105" t="str">
        <x:v>https://www.z47.com/contact</x:v>
      </x:c>
      <x:c r="D23" s="105" t="str">
        <x:v>https://www.z47.com/contact</x:v>
      </x:c>
      <x:c r="E23" s="109" t="d">
        <x:v>2026-10-20T00:00:00.000Z</x:v>
      </x:c>
      <x:c r="F23" s="105" t="str">
        <x:v>No suitable public email verified</x:v>
      </x:c>
      <x:c r="G23" s="105" t="str">
        <x:v>No named investor inbox verified; do not infer email from a name.</x:v>
      </x:c>
    </x:row>
    <x:row r="24" ht="51" customHeight="1">
      <x:c r="A24" s="105" t="str">
        <x:v>INV19</x:v>
      </x:c>
      <x:c r="B24" s="105" t="str">
        <x:v>Peak XV / Surge</x:v>
      </x:c>
      <x:c r="C24" s="105" t="str">
        <x:v>https://surge.peakxv.com/</x:v>
      </x:c>
      <x:c r="D24" s="105" t="str">
        <x:v>https://surge.peakxv.com/reach-out</x:v>
      </x:c>
      <x:c r="E24" s="109" t="d">
        <x:v>2026-10-20T00:00:00.000Z</x:v>
      </x:c>
      <x:c r="F24" s="105" t="str">
        <x:v>No suitable public email verified</x:v>
      </x:c>
      <x:c r="G24" s="105" t="str">
        <x:v>Program terms may differ from proposed cap. No duplicate Peak XV core outreach while Surge is active.</x:v>
      </x:c>
    </x:row>
    <x:row r="25" ht="51" customHeight="1">
      <x:c r="A25" s="105" t="str">
        <x:v>INV20</x:v>
      </x:c>
      <x:c r="B25" s="105" t="str">
        <x:v>Grayscale Ventures</x:v>
      </x:c>
      <x:c r="C25" s="105" t="str">
        <x:v>https://grayscale.vc/</x:v>
      </x:c>
      <x:c r="D25" s="105" t="str">
        <x:v>https://grayscale.vc/</x:v>
      </x:c>
      <x:c r="E25" s="109" t="d">
        <x:v>2026-10-20T00:00:00.000Z</x:v>
      </x:c>
      <x:c r="F25" s="105" t="str">
        <x:v>sid@grayscale.vc</x:v>
      </x:c>
      <x:c r="G25" s="105" t="str">
        <x:v>India-first research app is less direct fit than global infrastructure. Do not relabel current product as an infra business.</x:v>
      </x:c>
    </x:row>
    <x:row r="26" ht="51" customHeight="1">
      <x:c r="A26" s="105" t="str">
        <x:v>INV21</x:v>
      </x:c>
      <x:c r="B26" s="105" t="str">
        <x:v>Antler India — Direct</x:v>
      </x:c>
      <x:c r="C26" s="105" t="str">
        <x:v>https://www.antler.co/location/india</x:v>
      </x:c>
      <x:c r="D26" s="105" t="str">
        <x:v>https://www.antler.co/pitch</x:v>
      </x:c>
      <x:c r="E26" s="109" t="d">
        <x:v>2026-10-20T00:00:00.000Z</x:v>
      </x:c>
      <x:c r="F26" s="105" t="str">
        <x:v>No suitable public email verified</x:v>
      </x:c>
      <x:c r="G26" s="105" t="str">
        <x:v>Full-time from close must be disclosed. Residency requires full-time Bangalore participation; direct terms/eligibility need confirmation.</x:v>
      </x:c>
    </x:row>
    <x:row r="27" ht="51" customHeight="1">
      <x:c r="A27" s="105" t="str">
        <x:v>INV22</x:v>
      </x:c>
      <x:c r="B27" s="105" t="str">
        <x:v>Neon Fund</x:v>
      </x:c>
      <x:c r="C27" s="105" t="str">
        <x:v>https://neon.fund/fund-application-page/</x:v>
      </x:c>
      <x:c r="D27" s="105" t="str">
        <x:v>https://neon.fund/fund-application-page/</x:v>
      </x:c>
      <x:c r="E27" s="109" t="d">
        <x:v>2026-10-20T00:00:00.000Z</x:v>
      </x:c>
      <x:c r="F27" s="105" t="str">
        <x:v>No suitable public email verified</x:v>
      </x:c>
      <x:c r="G27" s="105" t="str">
        <x:v>India-only initial market is less direct than US–Asia thesis; do not invent a global expansion commitment.</x:v>
      </x:c>
    </x:row>
    <x:row r="28" ht="51" customHeight="1">
      <x:c r="A28" s="105" t="str">
        <x:v>INV23</x:v>
      </x:c>
      <x:c r="B28" s="105" t="str">
        <x:v>FortyTwo.VC</x:v>
      </x:c>
      <x:c r="C28" s="105" t="str">
        <x:v>https://fortytwovc.substack.com/p/climate-equation-the-growing-role</x:v>
      </x:c>
      <x:c r="D28" s="105" t="str">
        <x:v>https://www.fortytwo.vc/#contact</x:v>
      </x:c>
      <x:c r="E28" s="109" t="d">
        <x:v>2026-10-20T00:00:00.000Z</x:v>
      </x:c>
      <x:c r="F28" s="105" t="str">
        <x:v>deepthought@fortytwo.vc</x:v>
      </x:c>
      <x:c r="G28" s="105" t="str">
        <x:v>Global-market thesis is not yet established for Anvest. Lower priority than India-focused pre-seed funds.</x:v>
      </x:c>
    </x:row>
    <x:row r="29" ht="51" customHeight="1">
      <x:c r="A29" s="105" t="str">
        <x:v>INV24</x:v>
      </x:c>
      <x:c r="B29" s="105" t="str">
        <x:v>100X.VC</x:v>
      </x:c>
      <x:c r="C29" s="105" t="str">
        <x:v>https://www.linkedin.com/posts/mehta-sanjay_email-details-to-pitch100xvc-activity-6824043496412852224-bK6o</x:v>
      </x:c>
      <x:c r="D29" s="105" t="str">
        <x:v>https://www.100x.vc/</x:v>
      </x:c>
      <x:c r="E29" s="109" t="d">
        <x:v>2026-10-20T00:00:00.000Z</x:v>
      </x:c>
      <x:c r="F29" s="105" t="str">
        <x:v>pitch@100x.vc</x:v>
      </x:c>
      <x:c r="G29" s="105" t="str">
        <x:v>Email is from an older founder post; current homepage no longer exposes pitch route. Ask intake status before relying on historic class terms.</x:v>
      </x:c>
    </x:row>
    <x:row r="30" ht="51" customHeight="1">
      <x:c r="A30" s="105" t="str">
        <x:v>INV25</x:v>
      </x:c>
      <x:c r="B30" s="105" t="str">
        <x:v>OTP Ventures</x:v>
      </x:c>
      <x:c r="C30" s="105" t="str">
        <x:v>https://otp.vc/contact/</x:v>
      </x:c>
      <x:c r="D30" s="105" t="str">
        <x:v>https://otp.vc/contact/</x:v>
      </x:c>
      <x:c r="E30" s="109" t="d">
        <x:v>2026-10-20T00:00:00.000Z</x:v>
      </x:c>
      <x:c r="F30" s="105" t="str">
        <x:v>contact@otp.vc</x:v>
      </x:c>
      <x:c r="G30" s="105" t="str">
        <x:v>Show institutional customer value; current buyer wedge differs from broad consumer-fintech platforms.</x:v>
      </x:c>
    </x:row>
    <x:row r="31" ht="51" customHeight="1">
      <x:c r="A31" s="105" t="str">
        <x:v>INV26</x:v>
      </x:c>
      <x:c r="B31" s="105" t="str">
        <x:v>Huddle Ventures (India)</x:v>
      </x:c>
      <x:c r="C31" s="105" t="str">
        <x:v>https://huddle.work/</x:v>
      </x:c>
      <x:c r="D31" s="105" t="str">
        <x:v>https://sarthakr.typeform.com/to/m25eAios</x:v>
      </x:c>
      <x:c r="E31" s="109" t="d">
        <x:v>2026-10-20T00:00:00.000Z</x:v>
      </x:c>
      <x:c r="F31" s="105" t="str">
        <x:v>No suitable public email verified</x:v>
      </x:c>
      <x:c r="G31" s="105" t="str">
        <x:v>Lower fit than fintech specialists. Official HTML links form; research browser returned 403. Do not confuse with huddleventures.co or Huddle software.</x:v>
      </x:c>
    </x:row>
    <x:row r="32" ht="51" customHeight="1">
      <x:c r="A32" s="105" t="str">
        <x:v>INV27</x:v>
      </x:c>
      <x:c r="B32" s="105" t="str">
        <x:v>IAN Group / Indian Angel Network</x:v>
      </x:c>
      <x:c r="C32" s="105" t="str">
        <x:v>https://iangroup.vc/contact-us-2/</x:v>
      </x:c>
      <x:c r="D32" s="105" t="str">
        <x:v>https://iangroup.vc/contact-us-2/</x:v>
      </x:c>
      <x:c r="E32" s="109" t="d">
        <x:v>2026-10-20T00:00:00.000Z</x:v>
      </x:c>
      <x:c r="F32" s="105" t="str">
        <x:v>No suitable public email verified</x:v>
      </x:c>
      <x:c r="G32" s="105" t="str">
        <x:v>Not a single committed cheque; sponsorship, member interest and economics must be confirmed.</x:v>
      </x:c>
    </x:row>
    <x:row r="33" ht="51" customHeight="1">
      <x:c r="A33" s="105" t="str">
        <x:v>INV28</x:v>
      </x:c>
      <x:c r="B33" s="105" t="str">
        <x:v>LVX (formerly LetsVenture)</x:v>
      </x:c>
      <x:c r="C33" s="105" t="str">
        <x:v>https://www.letsventure.com/founders</x:v>
      </x:c>
      <x:c r="D33" s="105" t="str">
        <x:v>https://lvxventures.com/founders</x:v>
      </x:c>
      <x:c r="E33" s="109" t="d">
        <x:v>2026-10-20T00:00:00.000Z</x:v>
      </x:c>
      <x:c r="F33" s="105" t="str">
        <x:v>No suitable public email verified</x:v>
      </x:c>
      <x:c r="G33" s="105" t="str">
        <x:v>LetsVenture redirects to LVX. Platform signup is not investor commitment or a substitute for a lead.</x:v>
      </x:c>
    </x:row>
    <x:row r="34" ht="51" customHeight="1">
      <x:c r="A34" s="105" t="str">
        <x:v>INV29</x:v>
      </x:c>
      <x:c r="B34" s="105" t="str">
        <x:v>AngelList India</x:v>
      </x:c>
      <x:c r="C34" s="105" t="str">
        <x:v>https://www.angellistindia.com/</x:v>
      </x:c>
      <x:c r="D34" s="105" t="str">
        <x:v>https://www.angellistindia.com/</x:v>
      </x:c>
      <x:c r="E34" s="109" t="d">
        <x:v>2026-10-20T00:00:00.000Z</x:v>
      </x:c>
      <x:c r="F34" s="105" t="str">
        <x:v>No suitable public email verified</x:v>
      </x:c>
      <x:c r="G34" s="105" t="str">
        <x:v>Do not mistake platform service team for an investor. US AngelList startup sales form explicitly does not accept funding applications.</x:v>
      </x:c>
    </x:row>
    <x:row r="35" ht="51" customHeight="1">
      <x:c r="A35" s="105" t="str">
        <x:v>INV30</x:v>
      </x:c>
      <x:c r="B35" s="105" t="str">
        <x:v>Y Combinator — Winter 2027</x:v>
      </x:c>
      <x:c r="C35" s="105" t="str">
        <x:v>https://www.ycombinator.com/apply</x:v>
      </x:c>
      <x:c r="D35" s="105" t="str">
        <x:v>https://www.ycombinator.com/apply</x:v>
      </x:c>
      <x:c r="E35" s="109" t="d">
        <x:v>2026-10-20T00:00:00.000Z</x:v>
      </x:c>
      <x:c r="F35" s="105" t="str">
        <x:v>apply@ycombinator.com</x:v>
      </x:c>
      <x:c r="G35" s="105" t="str">
        <x:v>Official deadline 2 Nov 2026, 8pm PT = 3 Nov, 9:30am IST. Jan–Mar SF in-person batch; availability and standard deal need founder decision.</x:v>
      </x:c>
    </x:row>
    <x:row r="36" ht="51" customHeight="1">
      <x:c r="A36" s="105" t="str">
        <x:v>INV31</x:v>
      </x:c>
      <x:c r="B36" s="105" t="str">
        <x:v>Sparrow Capital</x:v>
      </x:c>
      <x:c r="C36" s="105" t="str">
        <x:v>https://sparrowvc.com/</x:v>
      </x:c>
      <x:c r="D36" s="105" t="str">
        <x:v>https://sparrowvc.com/</x:v>
      </x:c>
      <x:c r="E36" s="109" t="d">
        <x:v>2026-10-20T00:00:00.000Z</x:v>
      </x:c>
      <x:c r="F36" s="105" t="str">
        <x:v>No suitable public email verified</x:v>
      </x:c>
      <x:c r="G36" s="105" t="str">
        <x:v>Cheque/round mismatch. Media and LP-relations inboxes are not pitch contacts. Distinct from US Sparrow Capital Management.</x:v>
      </x:c>
    </x:row>
    <x:row r="37" ht="51" customHeight="1">
      <x:c r="A37" s="105" t="str">
        <x:v>INV32</x:v>
      </x:c>
      <x:c r="B37" s="105" t="str">
        <x:v>Blume Ventures</x:v>
      </x:c>
      <x:c r="C37" s="105" t="str">
        <x:v>https://blume.vc/</x:v>
      </x:c>
      <x:c r="D37" s="105" t="str">
        <x:v>https://blume.vc/</x:v>
      </x:c>
      <x:c r="E37" s="109" t="d">
        <x:v>2026-10-20T00:00:00.000Z</x:v>
      </x:c>
      <x:c r="F37" s="105" t="str">
        <x:v>No suitable public email verified</x:v>
      </x:c>
      <x:c r="G37" s="105" t="str">
        <x:v>Public B2B guidance suggests $375K annualized revenue; exceptions exist. No common pitch inbox/form. Do not use finance, media or LP contacts.</x:v>
      </x:c>
    </x:row>
    <x:row r="38" ht="51" customHeight="1">
      <x:c r="A38" s="105" t="str">
        <x:v>INV33</x:v>
      </x:c>
      <x:c r="B38" s="105" t="str">
        <x:v>Bertelsmann India Investments</x:v>
      </x:c>
      <x:c r="C38" s="105" t="str">
        <x:v>https://www.biifund.com/</x:v>
      </x:c>
      <x:c r="D38" s="105" t="str">
        <x:v>https://www.biifund.com/</x:v>
      </x:c>
      <x:c r="E38" s="109" t="d">
        <x:v>2026-10-20T00:00:00.000Z</x:v>
      </x:c>
      <x:c r="F38" s="105" t="str">
        <x:v>Info@bertelsmannindia.com</x:v>
      </x:c>
      <x:c r="G38" s="105" t="str">
        <x:v>Stage mismatch; do not spend first-wave time here.</x:v>
      </x:c>
    </x:row>
    <x:row r="39" ht="51" customHeight="1">
      <x:c r="A39" s="105" t="str">
        <x:v>INV34</x:v>
      </x:c>
      <x:c r="B39" s="105" t="str">
        <x:v>Fundamentum</x:v>
      </x:c>
      <x:c r="C39" s="105" t="str">
        <x:v>https://www.fundamentum.co.in/index.html</x:v>
      </x:c>
      <x:c r="D39" s="105" t="str">
        <x:v>https://www.fundamentum.co.in/index.html</x:v>
      </x:c>
      <x:c r="E39" s="109" t="d">
        <x:v>2026-10-20T00:00:00.000Z</x:v>
      </x:c>
      <x:c r="F39" s="105" t="str">
        <x:v>contact@fundamentum.co.in</x:v>
      </x:c>
      <x:c r="G39" s="105" t="str">
        <x:v>Do not contact for current $500K lead unless referred with explicit stage exception.</x:v>
      </x:c>
    </x:row>
    <x:row r="40" ht="51" customHeight="1">
      <x:c r="A40" s="105" t="str">
        <x:v>INV35</x:v>
      </x:c>
      <x:c r="B40" s="105" t="str">
        <x:v>Vertex Ventures Southeast Asia &amp; India</x:v>
      </x:c>
      <x:c r="C40" s="105" t="str">
        <x:v>https://www.vertexventures.sg/contact/</x:v>
      </x:c>
      <x:c r="D40" s="105" t="str">
        <x:v>https://www.vertexventures.sg/contact/</x:v>
      </x:c>
      <x:c r="E40" s="109" t="d">
        <x:v>2026-10-20T00:00:00.000Z</x:v>
      </x:c>
      <x:c r="F40" s="105" t="str">
        <x:v>No suitable public email verified</x:v>
      </x:c>
      <x:c r="G40" s="105" t="str">
        <x:v>Website directs funding to form, not recruitment, media or ESG inboxes. Present round/stage fit needs confirmation.</x:v>
      </x:c>
    </x:row>
    <x:row r="41" ht="51" customHeight="1">
      <x:c r="A41" s="105" t="str">
        <x:v>INV36</x:v>
      </x:c>
      <x:c r="B41" s="105" t="str">
        <x:v>Arkam Ventures</x:v>
      </x:c>
      <x:c r="C41" s="105" t="str">
        <x:v>https://arkamvc.com/contact</x:v>
      </x:c>
      <x:c r="D41" s="105" t="str">
        <x:v>https://arkamvc.com/contact</x:v>
      </x:c>
      <x:c r="E41" s="109" t="d">
        <x:v>2026-10-20T00:00:00.000Z</x:v>
      </x:c>
      <x:c r="F41" s="105" t="str">
        <x:v>info@arkamvc.com</x:v>
      </x:c>
      <x:c r="G41" s="105" t="str">
        <x:v>Current pre-revenue fit not established. Distinct from arkam.com fintech vendor.</x:v>
      </x:c>
    </x:row>
    <x:row r="42" ht="51" customHeight="1">
      <x:c r="A42" s="105" t="str">
        <x:v>INV37</x:v>
      </x:c>
      <x:c r="B42" s="105" t="str">
        <x:v>Lightspeed India Partners</x:v>
      </x:c>
      <x:c r="C42" s="105" t="str">
        <x:v>https://lsip.com/global-presence/lightspeed-india/</x:v>
      </x:c>
      <x:c r="D42" s="105" t="str">
        <x:v>https://lsip.com/global-presence/lightspeed-india/</x:v>
      </x:c>
      <x:c r="E42" s="109" t="d">
        <x:v>2026-10-20T00:00:00.000Z</x:v>
      </x:c>
      <x:c r="F42" s="105" t="str">
        <x:v>No suitable public email verified</x:v>
      </x:c>
      <x:c r="G42" s="105" t="str">
        <x:v>No public pitch email verified; India and US advisory entities are distinct.</x:v>
      </x:c>
    </x:row>
    <x:row r="43" ht="51" customHeight="1">
      <x:c r="A43" s="105" t="str">
        <x:v>INV38</x:v>
      </x:c>
      <x:c r="B43" s="105" t="str">
        <x:v>Accel / Atoms</x:v>
      </x:c>
      <x:c r="C43" s="105" t="str">
        <x:v>https://atoms.accel.com/</x:v>
      </x:c>
      <x:c r="D43" s="105" t="str">
        <x:v>https://atoms.accel.com/</x:v>
      </x:c>
      <x:c r="E43" s="109" t="d">
        <x:v>2026-10-20T00:00:00.000Z</x:v>
      </x:c>
      <x:c r="F43" s="105" t="str">
        <x:v>No suitable public email verified</x:v>
      </x:c>
      <x:c r="G43" s="105" t="str">
        <x:v>Current homepage shows newsletter/next-cohort notification, not an open investment application. Not an actionable live pitch form.</x:v>
      </x:c>
    </x:row>
    <x:row r="44" ht="51" customHeight="1">
      <x:c r="A44" s="105" t="str">
        <x:v>INV39</x:v>
      </x:c>
      <x:c r="B44" s="105" t="str">
        <x:v>BoldCap</x:v>
      </x:c>
      <x:c r="C44" s="105" t="str">
        <x:v>https://www.boldcap.com/</x:v>
      </x:c>
      <x:c r="D44" s="105" t="str">
        <x:v>https://www.boldcap.com/</x:v>
      </x:c>
      <x:c r="E44" s="109" t="d">
        <x:v>2026-10-20T00:00:00.000Z</x:v>
      </x:c>
      <x:c r="F44" s="105" t="str">
        <x:v>No suitable public email verified</x:v>
      </x:c>
      <x:c r="G44" s="105" t="str">
        <x:v>New frontier/AGI thesis makes fit less direct; Mili wealth-advisory portfolio adjacency merits discussion. No pitch email verified.</x:v>
      </x:c>
    </x:row>
    <x:row r="45" ht="51" customHeight="1">
      <x:c r="A45" s="105" t="str">
        <x:v>INV40</x:v>
      </x:c>
      <x:c r="B45" s="105" t="str">
        <x:v>Axilor Ventures</x:v>
      </x:c>
      <x:c r="C45" s="105" t="str">
        <x:v>https://www.axilor.com/category/axilor/</x:v>
      </x:c>
      <x:c r="D45" s="105" t="str">
        <x:v>https://www.axilor.com/</x:v>
      </x:c>
      <x:c r="E45" s="109" t="d">
        <x:v>2026-10-20T00:00:00.000Z</x:v>
      </x:c>
      <x:c r="F45" s="105" t="str">
        <x:v>No suitable public email verified</x:v>
      </x:c>
      <x:c r="G45" s="105" t="str">
        <x:v>Homepage/contact returned 520; do not repeat old ₹20L/100-day accelerator terms or use hiring/complaints inboxes.</x:v>
      </x:c>
    </x:row>
    <x:row r="46" ht="51" customHeight="1">
      <x:c r="A46" s="105" t="str">
        <x:v>INV41</x:v>
      </x:c>
      <x:c r="B46" s="105" t="str">
        <x:v>Mumbai Angels / 360 ONE Asset</x:v>
      </x:c>
      <x:c r="C46" s="105" t="str">
        <x:v>https://www.linkedin.com/company/mumbaiangels/</x:v>
      </x:c>
      <x:c r="D46" s="105" t="str">
        <x:v>https://www.linkedin.com/company/mumbaiangels/</x:v>
      </x:c>
      <x:c r="E46" s="109" t="d">
        <x:v>2026-10-20T00:00:00.000Z</x:v>
      </x:c>
      <x:c r="F46" s="105" t="str">
        <x:v>No suitable public email verified</x:v>
      </x:c>
      <x:c r="G46" s="105" t="str">
        <x:v>Official LinkedIn says page winding down. Old post publishes pitch@mumbaiangels.com, but current About has .con typo; no current delivery claim.</x:v>
      </x:c>
    </x:row>
    <x:row r="47" ht="51" customHeight="1">
      <x:c r="A47" s="105" t="str">
        <x:v>INV42</x:v>
      </x:c>
      <x:c r="B47" s="105" t="str">
        <x:v>Backrr</x:v>
      </x:c>
      <x:c r="C47" s="105" t="str">
        <x:v>https://backrr.com/startup</x:v>
      </x:c>
      <x:c r="D47" s="105" t="str">
        <x:v>https://backrr.com/startup</x:v>
      </x:c>
      <x:c r="E47" s="109" t="d">
        <x:v>2026-10-20T00:00:00.000Z</x:v>
      </x:c>
      <x:c r="F47" s="105" t="str">
        <x:v>No suitable public email verified</x:v>
      </x:c>
      <x:c r="G47" s="105" t="str">
        <x:v>Original sheet treated it as an angel syndicate. Current site describes a platform; an investing entity/mandate was not verified.</x:v>
      </x:c>
    </x:row>
    <x:row r="48" ht="51" customHeight="1">
      <x:c r="A48" s="105" t="str">
        <x:v>INV43</x:v>
      </x:c>
      <x:c r="B48" s="105" t="str">
        <x:v>Nithin Kamath</x:v>
      </x:c>
      <x:c r="C48" s="105" t="str">
        <x:v>https://rainmatter.com/</x:v>
      </x:c>
      <x:c r="D48" s="105" t="str">
        <x:v>https://rainmatter.com/</x:v>
      </x:c>
      <x:c r="E48" s="109" t="d">
        <x:v>2026-10-20T00:00:00.000Z</x:v>
      </x:c>
      <x:c r="F48" s="105" t="str">
        <x:v>No suitable public email verified</x:v>
      </x:c>
      <x:c r="G48" s="105" t="str">
        <x:v>Do not count a separate founder inbox as independent lead; personal mandate/contact not verified.</x:v>
      </x:c>
    </x:row>
    <x:row r="49" ht="51" customHeight="1">
      <x:c r="A49" s="105" t="str">
        <x:v>INV45</x:v>
      </x:c>
      <x:c r="B49" s="105" t="str">
        <x:v>Sanjay Swamy — personal angel</x:v>
      </x:c>
      <x:c r="C49" s="105" t="str">
        <x:v>https://www.primevp.in/contact-us</x:v>
      </x:c>
      <x:c r="D49" s="105" t="str">
        <x:v>https://www.primevp.in/contact-us</x:v>
      </x:c>
      <x:c r="E49" s="109" t="d">
        <x:v>2026-10-20T00:00:00.000Z</x:v>
      </x:c>
      <x:c r="F49" s="105" t="str">
        <x:v>No suitable public email verified</x:v>
      </x:c>
      <x:c r="G49" s="105" t="str">
        <x:v>Not an additional independently verified investor lead.</x:v>
      </x:c>
    </x:row>
    <x:row r="50" ht="51" customHeight="1">
      <x:c r="A50" s="105" t="str">
        <x:v>MODEL</x:v>
      </x:c>
      <x:c r="B50" s="105" t="str">
        <x:v>Round / financial outputs</x:v>
      </x:c>
      <x:c r="C50" s="105" t="str">
        <x:v>Financial_Models/operating_model.py</x:v>
      </x:c>
      <x:c r="D50" s="105" t="str"/>
      <x:c r="E50" s="109" t="d">
        <x:v>2026-10-20T00:00:00.000Z</x:v>
      </x:c>
      <x:c r="F50" s="105" t="str">
        <x:v>Internal source</x:v>
      </x:c>
      <x:c r="G50" s="105" t="str">
        <x:v>Planning assumptions; rounded outputs. Proposed cap comes from current funding materials.</x:v>
      </x:c>
    </x:row>
    <x:row r="51" ht="51" customHeight="1">
      <x:c r="A51" s="105" t="str">
        <x:v>METRICS</x:v>
      </x:c>
      <x:c r="B51" s="105" t="str">
        <x:v>Production usage snapshot</x:v>
      </x:c>
      <x:c r="C51" s="105" t="str">
        <x:v>Source/product_metrics_snapshot.json</x:v>
      </x:c>
      <x:c r="D51" s="105" t="str"/>
      <x:c r="E51" s="109" t="d">
        <x:v>2026-10-20T00:00:00.000Z</x:v>
      </x:c>
      <x:c r="F51" s="105" t="str">
        <x:v>Internal evidence</x:v>
      </x:c>
      <x:c r="G51" s="105" t="str">
        <x:v>Founder/testing included; registered accounts are not active external users.</x:v>
      </x:c>
    </x:row>
    <x:row r="52" ht="51" customHeight="1">
      <x:c r="A52" s="105" t="str">
        <x:v>AUDIT</x:v>
      </x:c>
      <x:c r="B52" s="105" t="str">
        <x:v>50-filing extraction audit</x:v>
      </x:c>
      <x:c r="C52" s="105" t="str">
        <x:v>Source/filing_check.json</x:v>
      </x:c>
      <x:c r="D52" s="105" t="str"/>
      <x:c r="E52" s="109" t="d">
        <x:v>2026-10-20T00:00:00.000Z</x:v>
      </x:c>
      <x:c r="F52" s="105" t="str">
        <x:v>Internal evidence</x:v>
      </x:c>
      <x:c r="G52" s="105" t="str">
        <x:v>Revenue/PAT extraction, not broad live-answer benchmark.</x:v>
      </x:c>
    </x:row>
  </x:sheetData>
  <x:mergeCells>
    <x:mergeCell ref="A1:G1"/>
    <x:mergeCell ref="A2:G2"/>
  </x:mergeCells>
  <x:pageMargins left="0.7" right="0.7" top="0.75" bottom="0.75" header="0.3" footer="0.3"/>
</x:worksheet>
</file>